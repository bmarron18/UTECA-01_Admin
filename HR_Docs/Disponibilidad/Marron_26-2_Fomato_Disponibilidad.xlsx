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nibilidad 26-2" sheetId="1" state="visible" r:id="rId2"/>
    <sheet name="LabCompSoft" sheetId="2" state="hidden" r:id="rId3"/>
    <sheet name="Materias_Dispo_26_2" sheetId="3" state="hidden" r:id="rId4"/>
  </sheets>
  <definedNames>
    <definedName function="false" hidden="false" localSheetId="0" name="_xlnm.Print_Area" vbProcedure="false">'Disponibilidad 26-2'!$L$1:$R$52</definedName>
    <definedName function="false" hidden="true" localSheetId="2" name="_xlnm._FilterDatabase" vbProcedure="false">Materias_Dispo_26_2!$A$2:$I$257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5" authorId="0">
      <text>
        <r>
          <rPr>
            <sz val="11"/>
            <color rgb="FF000000"/>
            <rFont val="Aptos Narrow"/>
            <family val="2"/>
            <charset val="1"/>
          </rPr>
          <t xml:space="preserve">Seleccionar la materia
Cuatrimestre
Grupo A B C
Materia
Horas por semana</t>
        </r>
      </text>
    </comment>
    <comment ref="H35" authorId="0">
      <text>
        <r>
          <rPr>
            <sz val="11"/>
            <color rgb="FF000000"/>
            <rFont val="Aptos Narrow"/>
            <family val="2"/>
            <charset val="1"/>
          </rPr>
          <t xml:space="preserve">Capturar el software que requiere en la materia.
Consulte el listado al final de este formato.</t>
        </r>
      </text>
    </comment>
  </commentList>
</comments>
</file>

<file path=xl/sharedStrings.xml><?xml version="1.0" encoding="utf-8"?>
<sst xmlns="http://schemas.openxmlformats.org/spreadsheetml/2006/main" count="989" uniqueCount="597">
  <si>
    <t xml:space="preserve">FORMATO DE DISPONIBILIDAD</t>
  </si>
  <si>
    <t xml:space="preserve">Ciclo:26-2</t>
  </si>
  <si>
    <t xml:space="preserve">Nombre:</t>
  </si>
  <si>
    <t xml:space="preserve">Bruce David Marron</t>
  </si>
  <si>
    <t xml:space="preserve">Profesión:</t>
  </si>
  <si>
    <t xml:space="preserve">Docente / Profe</t>
  </si>
  <si>
    <t xml:space="preserve">Tel. Casa:</t>
  </si>
  <si>
    <t xml:space="preserve">Tel. Celular:</t>
  </si>
  <si>
    <t xml:space="preserve">55 4190 9628</t>
  </si>
  <si>
    <t xml:space="preserve">E-mail:</t>
  </si>
  <si>
    <t xml:space="preserve">marron.bruce.mx@gmail.com</t>
  </si>
  <si>
    <t xml:space="preserve">Capture 1, 2 o X dentro del área de disponibilidad</t>
  </si>
  <si>
    <t xml:space="preserve">Disponibilidad para la Dirección de Innovación en Medios y Contenidos Digitales</t>
  </si>
  <si>
    <t xml:space="preserve">Disponibilidad para la Dirección de Idiomas e Internacionalización</t>
  </si>
  <si>
    <t xml:space="preserve">X</t>
  </si>
  <si>
    <t xml:space="preserve">Disponibilidad para ambas Direcciones</t>
  </si>
  <si>
    <t xml:space="preserve">Horario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</si>
  <si>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</si>
  <si>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</si>
  <si>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</si>
  <si>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</si>
  <si>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</si>
  <si>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MATUTINO</t>
  </si>
  <si>
    <t xml:space="preserve">07:00 -08:00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</si>
  <si>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</si>
  <si>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</si>
  <si>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</si>
  <si>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</si>
  <si>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12:00 -13:00</t>
  </si>
  <si>
    <t xml:space="preserve">13:00 - 14:00</t>
  </si>
  <si>
    <t xml:space="preserve">14:00 - 15:00</t>
  </si>
  <si>
    <t xml:space="preserve">VESPERTINO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</si>
  <si>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</si>
  <si>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</si>
  <si>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</si>
  <si>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</si>
  <si>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19:00 -20:00</t>
  </si>
  <si>
    <t xml:space="preserve">20:00 -21:00</t>
  </si>
  <si>
    <t xml:space="preserve">21:00 - 22:00</t>
  </si>
  <si>
    <t xml:space="preserve">MATERIAS DE SU INTERÉS (no hay límite en el número de materias para solicitar)</t>
  </si>
  <si>
    <t xml:space="preserve">Selecciona una materia de lista desplegable en la zona sombreada,</t>
  </si>
  <si>
    <t xml:space="preserve">y captura los años de experiencia laboral y docente</t>
  </si>
  <si>
    <t xml:space="preserve">ASIGNACIÓN DE MATERIAS</t>
  </si>
  <si>
    <t xml:space="preserve">Cuatri. / Lic. / Grupo A B C / Materia / Horas</t>
  </si>
  <si>
    <t xml:space="preserve">Años Exp.
Laboral</t>
  </si>
  <si>
    <t xml:space="preserve">Años Exp.
Docente</t>
  </si>
  <si>
    <t xml:space="preserve">Software Necesario</t>
  </si>
  <si>
    <t xml:space="preserve">Clave</t>
  </si>
  <si>
    <t xml:space="preserve">Materia asignada</t>
  </si>
  <si>
    <t xml:space="preserve">Horas</t>
  </si>
  <si>
    <t xml:space="preserve">Horas
Asignadas</t>
  </si>
  <si>
    <t xml:space="preserve">Horas
Faltantes</t>
  </si>
  <si>
    <t xml:space="preserve">10. INT  Inglés X (4)</t>
  </si>
  <si>
    <t xml:space="preserve">10’+</t>
  </si>
  <si>
    <t xml:space="preserve">Word processor (google docs, Word, Libre Office, LaTex)</t>
  </si>
  <si>
    <t xml:space="preserve">9. INT Inglés IX (4)</t>
  </si>
  <si>
    <t xml:space="preserve">*El presente formato no garantiza un horario o asignación de materias. </t>
  </si>
  <si>
    <t xml:space="preserve">TOTAL DE HORAS ASIGNADAS</t>
  </si>
  <si>
    <t xml:space="preserve">LISTADO DEL SOFTWARE DISPONIBLE EN LOS LABORATORIOS</t>
  </si>
  <si>
    <t xml:space="preserve">Adobe After Effects 2025</t>
  </si>
  <si>
    <t xml:space="preserve">Autodesk AutoCAD 2026 – Esp.</t>
  </si>
  <si>
    <t xml:space="preserve">PureRef</t>
  </si>
  <si>
    <t xml:space="preserve">Adobe Animate 2025</t>
  </si>
  <si>
    <t xml:space="preserve">Autodesk Maya 2025</t>
  </si>
  <si>
    <t xml:space="preserve">Python 3.10.2 (64-bit)</t>
  </si>
  <si>
    <t xml:space="preserve">Adobe Audition 2025</t>
  </si>
  <si>
    <t xml:space="preserve">Autodesk Mudbox 2025</t>
  </si>
  <si>
    <t xml:space="preserve">R for Windows </t>
  </si>
  <si>
    <t xml:space="preserve">Adobe Creative Cloud</t>
  </si>
  <si>
    <t xml:space="preserve">Blender</t>
  </si>
  <si>
    <t xml:space="preserve">Sublime_text</t>
  </si>
  <si>
    <t xml:space="preserve">Adobe Illustrator 2025</t>
  </si>
  <si>
    <t xml:space="preserve">CapCut</t>
  </si>
  <si>
    <t xml:space="preserve">Subtitle Edit 3.6.4</t>
  </si>
  <si>
    <t xml:space="preserve">Adobe InDesign 2025</t>
  </si>
  <si>
    <t xml:space="preserve">Cinema 4D 2025</t>
  </si>
  <si>
    <t xml:space="preserve">Tableta Wacom</t>
  </si>
  <si>
    <t xml:space="preserve">Adobe Lightroom</t>
  </si>
  <si>
    <t xml:space="preserve">Epic Games</t>
  </si>
  <si>
    <t xml:space="preserve">Unity Hub 3.5.1</t>
  </si>
  <si>
    <t xml:space="preserve">Adobe Media Encoder 2025</t>
  </si>
  <si>
    <t xml:space="preserve">KIT Scenarist</t>
  </si>
  <si>
    <t xml:space="preserve">Unreal</t>
  </si>
  <si>
    <t xml:space="preserve">Adobe Photoshop 2025</t>
  </si>
  <si>
    <t xml:space="preserve">Microsoft Visual C++</t>
  </si>
  <si>
    <t xml:space="preserve">Visual Studio Community 2022</t>
  </si>
  <si>
    <t xml:space="preserve">Adobe Premiere Pro 2025</t>
  </si>
  <si>
    <t xml:space="preserve">Nuke 15.1v2</t>
  </si>
  <si>
    <t xml:space="preserve">VLC Media Player</t>
  </si>
  <si>
    <t xml:space="preserve">Adobe Substance 3D for Maya 2025</t>
  </si>
  <si>
    <t xml:space="preserve">Oculus</t>
  </si>
  <si>
    <t xml:space="preserve">Wixedit_Raptor</t>
  </si>
  <si>
    <t xml:space="preserve">Adobe Substance 3D Painter</t>
  </si>
  <si>
    <t xml:space="preserve">Pseint</t>
  </si>
  <si>
    <t xml:space="preserve">XAMMP</t>
  </si>
  <si>
    <t xml:space="preserve">Audacity 3.3.1</t>
  </si>
  <si>
    <t xml:space="preserve">No.</t>
  </si>
  <si>
    <t xml:space="preserve">Laboratorio</t>
  </si>
  <si>
    <t xml:space="preserve">SOFTWARE</t>
  </si>
  <si>
    <t xml:space="preserve">MAC o PC es lo mismo</t>
  </si>
  <si>
    <t xml:space="preserve">7-Zip 21.07 (x64)</t>
  </si>
  <si>
    <t xml:space="preserve">MAC No importa la sala</t>
  </si>
  <si>
    <t xml:space="preserve">Adobe Acrobat (64 bits)</t>
  </si>
  <si>
    <t xml:space="preserve">PC No importa la sala</t>
  </si>
  <si>
    <t xml:space="preserve">MAC 01</t>
  </si>
  <si>
    <t xml:space="preserve">MAC 02</t>
  </si>
  <si>
    <t xml:space="preserve">MAC 03</t>
  </si>
  <si>
    <t xml:space="preserve">PC 04</t>
  </si>
  <si>
    <t xml:space="preserve">PC 05</t>
  </si>
  <si>
    <t xml:space="preserve">PC 06</t>
  </si>
  <si>
    <t xml:space="preserve">PC 07</t>
  </si>
  <si>
    <t xml:space="preserve">Ninguno</t>
  </si>
  <si>
    <t xml:space="preserve">Autodesk AutoCAD 2026 – Español</t>
  </si>
  <si>
    <t xml:space="preserve">CCleaner</t>
  </si>
  <si>
    <t xml:space="preserve">GitHub Desktop</t>
  </si>
  <si>
    <t xml:space="preserve">Microsoft Edge</t>
  </si>
  <si>
    <t xml:space="preserve">Microsoft Office Professional Plus 2016</t>
  </si>
  <si>
    <t xml:space="preserve">Microsoft Visual C++ (varios años y versiones)</t>
  </si>
  <si>
    <t xml:space="preserve">Lic</t>
  </si>
  <si>
    <t xml:space="preserve">Id_Lic</t>
  </si>
  <si>
    <t xml:space="preserve">Cuatrimestre</t>
  </si>
  <si>
    <t xml:space="preserve">No_Materia</t>
  </si>
  <si>
    <t xml:space="preserve">Materia</t>
  </si>
  <si>
    <t xml:space="preserve">Clave_Materia</t>
  </si>
  <si>
    <t xml:space="preserve">Horas_Tot</t>
  </si>
  <si>
    <t xml:space="preserve">ACT</t>
  </si>
  <si>
    <t xml:space="preserve">Álgebra Superior I</t>
  </si>
  <si>
    <t xml:space="preserve">LAE0101</t>
  </si>
  <si>
    <t xml:space="preserve">Introducción a la Programación</t>
  </si>
  <si>
    <t xml:space="preserve">LAE0102</t>
  </si>
  <si>
    <t xml:space="preserve">Cálculo Diferencial e Intregal I</t>
  </si>
  <si>
    <t xml:space="preserve">LAE0103</t>
  </si>
  <si>
    <t xml:space="preserve">Geometría Analítica</t>
  </si>
  <si>
    <t xml:space="preserve">LAE0104</t>
  </si>
  <si>
    <t xml:space="preserve">Teoría Financiera</t>
  </si>
  <si>
    <t xml:space="preserve">LAE0105</t>
  </si>
  <si>
    <t xml:space="preserve">Álgebra Superior II</t>
  </si>
  <si>
    <t xml:space="preserve">LAE0206</t>
  </si>
  <si>
    <t xml:space="preserve">Programación Orientada a Objetos (POO)</t>
  </si>
  <si>
    <t xml:space="preserve">LAE0207</t>
  </si>
  <si>
    <t xml:space="preserve">Cálculo Diferencial e Integral II</t>
  </si>
  <si>
    <t xml:space="preserve">LAE0208</t>
  </si>
  <si>
    <t xml:space="preserve">Teoría de Seguros y Fianzas</t>
  </si>
  <si>
    <t xml:space="preserve">LAE0209</t>
  </si>
  <si>
    <t xml:space="preserve">Matemáticas Financieras Avanzadas</t>
  </si>
  <si>
    <t xml:space="preserve">LAE0210</t>
  </si>
  <si>
    <t xml:space="preserve">Economía</t>
  </si>
  <si>
    <t xml:space="preserve">LAE0521</t>
  </si>
  <si>
    <t xml:space="preserve">Análisis Estadístico Paramétrico</t>
  </si>
  <si>
    <t xml:space="preserve">LAE0522</t>
  </si>
  <si>
    <t xml:space="preserve">Análisis Numérico</t>
  </si>
  <si>
    <t xml:space="preserve">LAE0523</t>
  </si>
  <si>
    <t xml:space="preserve">Cálculo Actuarial II</t>
  </si>
  <si>
    <t xml:space="preserve">LAE0524</t>
  </si>
  <si>
    <t xml:space="preserve">Mercado Bursátil</t>
  </si>
  <si>
    <t xml:space="preserve">LAE0525</t>
  </si>
  <si>
    <t xml:space="preserve">Temas Selectos para el Análisis de Datos</t>
  </si>
  <si>
    <t xml:space="preserve">LAE0836</t>
  </si>
  <si>
    <t xml:space="preserve">Teoría de Decisiones y Juegos</t>
  </si>
  <si>
    <t xml:space="preserve">LAE0837</t>
  </si>
  <si>
    <t xml:space="preserve">Teoría del Riesgo</t>
  </si>
  <si>
    <t xml:space="preserve">LAE0838</t>
  </si>
  <si>
    <t xml:space="preserve">Modelos Actuariales Aplicados a la Seguridad Social</t>
  </si>
  <si>
    <t xml:space="preserve">LAE0839</t>
  </si>
  <si>
    <t xml:space="preserve">Productos Financieros Derivados</t>
  </si>
  <si>
    <t xml:space="preserve">LAE0840</t>
  </si>
  <si>
    <t xml:space="preserve">AAV</t>
  </si>
  <si>
    <t xml:space="preserve">Introducción a la Animación y Videojuegos</t>
  </si>
  <si>
    <t xml:space="preserve">AAV0101</t>
  </si>
  <si>
    <t xml:space="preserve">Dibujo I (Geométrico)</t>
  </si>
  <si>
    <t xml:space="preserve">AAV0102</t>
  </si>
  <si>
    <t xml:space="preserve">Fundamentos del Diseño</t>
  </si>
  <si>
    <t xml:space="preserve">AAV0103</t>
  </si>
  <si>
    <t xml:space="preserve">Taller de Redacción para Medios Digitales</t>
  </si>
  <si>
    <t xml:space="preserve">AAV0104</t>
  </si>
  <si>
    <t xml:space="preserve">Narrativa Audiovisual</t>
  </si>
  <si>
    <t xml:space="preserve">AAV0105</t>
  </si>
  <si>
    <t xml:space="preserve">Fotografía Digital</t>
  </si>
  <si>
    <t xml:space="preserve">AAV0206</t>
  </si>
  <si>
    <t xml:space="preserve">Dibujo II (Natural)</t>
  </si>
  <si>
    <t xml:space="preserve">AAV0207</t>
  </si>
  <si>
    <t xml:space="preserve">Ilustración Digital</t>
  </si>
  <si>
    <t xml:space="preserve">AAV0208</t>
  </si>
  <si>
    <t xml:space="preserve">Matemáticas para Videojuegos</t>
  </si>
  <si>
    <t xml:space="preserve">AAV0209</t>
  </si>
  <si>
    <t xml:space="preserve">Guionismo I</t>
  </si>
  <si>
    <t xml:space="preserve">AAV0210</t>
  </si>
  <si>
    <t xml:space="preserve">Animación Tradicional I</t>
  </si>
  <si>
    <t xml:space="preserve">AAV0311</t>
  </si>
  <si>
    <t xml:space="preserve">Dibujo III (Ilustración y Cómic)</t>
  </si>
  <si>
    <t xml:space="preserve">AAV0312</t>
  </si>
  <si>
    <t xml:space="preserve">Arte Multimedia y Conceptual</t>
  </si>
  <si>
    <t xml:space="preserve">AAV0313</t>
  </si>
  <si>
    <t xml:space="preserve">AAV0314</t>
  </si>
  <si>
    <t xml:space="preserve">Guionismo II</t>
  </si>
  <si>
    <t xml:space="preserve">AAV0315</t>
  </si>
  <si>
    <t xml:space="preserve">Gráficos Animados</t>
  </si>
  <si>
    <t xml:space="preserve">AAV0521</t>
  </si>
  <si>
    <t xml:space="preserve">Modelado 3D II (Orgánico)</t>
  </si>
  <si>
    <t xml:space="preserve">AAV0522</t>
  </si>
  <si>
    <t xml:space="preserve">Texturización y Materiales</t>
  </si>
  <si>
    <t xml:space="preserve">AAV0523</t>
  </si>
  <si>
    <t xml:space="preserve">Programación para Videojuegos II</t>
  </si>
  <si>
    <t xml:space="preserve">AAV0524</t>
  </si>
  <si>
    <t xml:space="preserve">Semiótica</t>
  </si>
  <si>
    <t xml:space="preserve">AAV0525</t>
  </si>
  <si>
    <t xml:space="preserve">Animación 2D Digital de Personajes</t>
  </si>
  <si>
    <t xml:space="preserve">AAV0626</t>
  </si>
  <si>
    <t xml:space="preserve">Animación 3D I</t>
  </si>
  <si>
    <t xml:space="preserve">AAV0627</t>
  </si>
  <si>
    <t xml:space="preserve">Actuación para Animadores</t>
  </si>
  <si>
    <t xml:space="preserve">AAV0628</t>
  </si>
  <si>
    <t xml:space="preserve">Diseño de Juegos</t>
  </si>
  <si>
    <t xml:space="preserve">AAV0629</t>
  </si>
  <si>
    <t xml:space="preserve">Edición Digital Multimedia</t>
  </si>
  <si>
    <t xml:space="preserve">AAN0630</t>
  </si>
  <si>
    <t xml:space="preserve">Iluminación y Procesamiento de Imágenes 3D</t>
  </si>
  <si>
    <t xml:space="preserve">AAV0836</t>
  </si>
  <si>
    <t xml:space="preserve">Comercialización de Animación y Videojuegos</t>
  </si>
  <si>
    <t xml:space="preserve">AAV0837</t>
  </si>
  <si>
    <t xml:space="preserve">La Animación y los Videojuegos en las Nuevas Aplicaciones</t>
  </si>
  <si>
    <t xml:space="preserve">AAV0838</t>
  </si>
  <si>
    <t xml:space="preserve">Desarrollo de Videojuegos para Móviles</t>
  </si>
  <si>
    <t xml:space="preserve">AAV0839</t>
  </si>
  <si>
    <t xml:space="preserve">Composición Multimedia</t>
  </si>
  <si>
    <t xml:space="preserve">AAV0840</t>
  </si>
  <si>
    <t xml:space="preserve">Efectos Visuales</t>
  </si>
  <si>
    <t xml:space="preserve">AAV0941</t>
  </si>
  <si>
    <t xml:space="preserve">Taller de Arte Interactivo</t>
  </si>
  <si>
    <t xml:space="preserve">AAV0942</t>
  </si>
  <si>
    <t xml:space="preserve">Realidad Virtual y Aumentada</t>
  </si>
  <si>
    <t xml:space="preserve">AAV0943</t>
  </si>
  <si>
    <t xml:space="preserve">Marco Legal de la Animación y los Videojuegos</t>
  </si>
  <si>
    <t xml:space="preserve">AAV0944</t>
  </si>
  <si>
    <t xml:space="preserve">Taller Integral de Animación y Videojuegos</t>
  </si>
  <si>
    <t xml:space="preserve">AAV0945</t>
  </si>
  <si>
    <t xml:space="preserve">CCD</t>
  </si>
  <si>
    <t xml:space="preserve">Introducción a la Comunicación</t>
  </si>
  <si>
    <t xml:space="preserve">CCD0101</t>
  </si>
  <si>
    <t xml:space="preserve">Historia y Cultura de México</t>
  </si>
  <si>
    <t xml:space="preserve">CCD0102</t>
  </si>
  <si>
    <t xml:space="preserve">Tecnologías y Gestión de la Información</t>
  </si>
  <si>
    <t xml:space="preserve">CCD0103</t>
  </si>
  <si>
    <t xml:space="preserve">Taller de Redacción</t>
  </si>
  <si>
    <t xml:space="preserve">CCD0104</t>
  </si>
  <si>
    <t xml:space="preserve">Comprensión y Análisis de Textos</t>
  </si>
  <si>
    <t xml:space="preserve">CCD0105</t>
  </si>
  <si>
    <t xml:space="preserve">Medios Digitales</t>
  </si>
  <si>
    <t xml:space="preserve">CCD0206</t>
  </si>
  <si>
    <t xml:space="preserve">Historia y Cultura Mundial</t>
  </si>
  <si>
    <t xml:space="preserve">CCD0207</t>
  </si>
  <si>
    <t xml:space="preserve">Psicología Social</t>
  </si>
  <si>
    <t xml:space="preserve">CCD0208</t>
  </si>
  <si>
    <t xml:space="preserve">Teoría de la Comunicación</t>
  </si>
  <si>
    <t xml:space="preserve">CCD0209</t>
  </si>
  <si>
    <t xml:space="preserve">Metodología de la Investigación</t>
  </si>
  <si>
    <t xml:space="preserve">MU01</t>
  </si>
  <si>
    <t xml:space="preserve">Estrategias de Comunicación Web 2.0</t>
  </si>
  <si>
    <t xml:space="preserve">CCD0415</t>
  </si>
  <si>
    <t xml:space="preserve">Mercadotecnia y Publicidad</t>
  </si>
  <si>
    <t xml:space="preserve">CCD0416</t>
  </si>
  <si>
    <t xml:space="preserve">Inglés para Comunicación</t>
  </si>
  <si>
    <t xml:space="preserve">CCD0417</t>
  </si>
  <si>
    <t xml:space="preserve">Periodismo</t>
  </si>
  <si>
    <t xml:space="preserve">CCD0418</t>
  </si>
  <si>
    <t xml:space="preserve">Guinismo para Contenidos Digitales II</t>
  </si>
  <si>
    <t xml:space="preserve">CCD0419</t>
  </si>
  <si>
    <t xml:space="preserve">CCD0520</t>
  </si>
  <si>
    <t xml:space="preserve">Comunicación Estratégica en Redes Sociales</t>
  </si>
  <si>
    <t xml:space="preserve">CCD0521</t>
  </si>
  <si>
    <t xml:space="preserve">Locución y Doblaje</t>
  </si>
  <si>
    <t xml:space="preserve">CCD0522</t>
  </si>
  <si>
    <t xml:space="preserve">Comunicación Organizacional</t>
  </si>
  <si>
    <t xml:space="preserve">CCD0523</t>
  </si>
  <si>
    <t xml:space="preserve">Fundamentos de Derecho para Contenidos Digitales</t>
  </si>
  <si>
    <t xml:space="preserve">CCD0524</t>
  </si>
  <si>
    <t xml:space="preserve">CCD0625</t>
  </si>
  <si>
    <t xml:space="preserve">Fundamentos y Prácticas de las Relaciones Públicas</t>
  </si>
  <si>
    <t xml:space="preserve">CCD0626</t>
  </si>
  <si>
    <t xml:space="preserve">Producción Radiofónica</t>
  </si>
  <si>
    <t xml:space="preserve">CCD0627</t>
  </si>
  <si>
    <t xml:space="preserve">Producción de Televisión</t>
  </si>
  <si>
    <t xml:space="preserve">CCD0628</t>
  </si>
  <si>
    <t xml:space="preserve">Diseño Web y Mercadotecnia Digital</t>
  </si>
  <si>
    <t xml:space="preserve">CCD0629</t>
  </si>
  <si>
    <t xml:space="preserve">CCD A</t>
  </si>
  <si>
    <t xml:space="preserve">Taller de Producción de Contenidos Perodísticos</t>
  </si>
  <si>
    <t xml:space="preserve">CCD0835A</t>
  </si>
  <si>
    <t xml:space="preserve">Taller de Producción de Contenidos Musicales</t>
  </si>
  <si>
    <t xml:space="preserve">CCD0836A</t>
  </si>
  <si>
    <t xml:space="preserve">Taller de Producción de Contenidos Deportivos</t>
  </si>
  <si>
    <t xml:space="preserve">CCD0837A</t>
  </si>
  <si>
    <t xml:space="preserve">Nuevos Medios</t>
  </si>
  <si>
    <t xml:space="preserve">CCD0838A</t>
  </si>
  <si>
    <t xml:space="preserve">Emprendedurismo</t>
  </si>
  <si>
    <t xml:space="preserve">CCD0839A</t>
  </si>
  <si>
    <t xml:space="preserve">CCD B</t>
  </si>
  <si>
    <t xml:space="preserve">CCD0835B</t>
  </si>
  <si>
    <t xml:space="preserve">CCD0836B</t>
  </si>
  <si>
    <t xml:space="preserve">CCD0837B</t>
  </si>
  <si>
    <t xml:space="preserve">CCD0838B</t>
  </si>
  <si>
    <t xml:space="preserve">CCD0839B</t>
  </si>
  <si>
    <t xml:space="preserve">Taller de Producción de Contenidos de Entretenimiento</t>
  </si>
  <si>
    <t xml:space="preserve">CCD0940</t>
  </si>
  <si>
    <t xml:space="preserve">Taller de Producción de Contenidos Culturales</t>
  </si>
  <si>
    <t xml:space="preserve">CCD0941</t>
  </si>
  <si>
    <t xml:space="preserve">Nuevos Públicos y Audiencias</t>
  </si>
  <si>
    <t xml:space="preserve">CCD0942</t>
  </si>
  <si>
    <t xml:space="preserve">Multimedia Digital</t>
  </si>
  <si>
    <t xml:space="preserve">CCD0943</t>
  </si>
  <si>
    <t xml:space="preserve">Taller Intregal de Comunicación</t>
  </si>
  <si>
    <t xml:space="preserve">CCD0944</t>
  </si>
  <si>
    <t xml:space="preserve">DAM</t>
  </si>
  <si>
    <t xml:space="preserve">DAM0101</t>
  </si>
  <si>
    <t xml:space="preserve">Historia del Arte</t>
  </si>
  <si>
    <t xml:space="preserve">DAM0102</t>
  </si>
  <si>
    <t xml:space="preserve">Dibujo I Geométrico</t>
  </si>
  <si>
    <t xml:space="preserve">DAM0103</t>
  </si>
  <si>
    <t xml:space="preserve">Metodología del Diseño</t>
  </si>
  <si>
    <t xml:space="preserve">DAM0104</t>
  </si>
  <si>
    <t xml:space="preserve">DAM0105</t>
  </si>
  <si>
    <t xml:space="preserve">DAM A</t>
  </si>
  <si>
    <t xml:space="preserve">Fundamentos de Composición</t>
  </si>
  <si>
    <t xml:space="preserve">DAM0206A</t>
  </si>
  <si>
    <t xml:space="preserve">Historia del Arte en México</t>
  </si>
  <si>
    <t xml:space="preserve">DAM0207A</t>
  </si>
  <si>
    <t xml:space="preserve">Dibujo II Natural</t>
  </si>
  <si>
    <t xml:space="preserve">DAM0208A</t>
  </si>
  <si>
    <t xml:space="preserve">DAM0209A</t>
  </si>
  <si>
    <t xml:space="preserve">MU01A</t>
  </si>
  <si>
    <t xml:space="preserve">DAM B</t>
  </si>
  <si>
    <t xml:space="preserve">DAM0206B</t>
  </si>
  <si>
    <t xml:space="preserve">DAM0207B</t>
  </si>
  <si>
    <t xml:space="preserve">DAM0208B</t>
  </si>
  <si>
    <t xml:space="preserve">DAM0209B</t>
  </si>
  <si>
    <t xml:space="preserve">MU01B</t>
  </si>
  <si>
    <t xml:space="preserve">Tipografía II Digital</t>
  </si>
  <si>
    <t xml:space="preserve">DAM0415</t>
  </si>
  <si>
    <t xml:space="preserve">Fundamentos de Derecho para Diseño y Arte</t>
  </si>
  <si>
    <t xml:space="preserve">DAM0416</t>
  </si>
  <si>
    <t xml:space="preserve">Animación</t>
  </si>
  <si>
    <t xml:space="preserve">DAM0417</t>
  </si>
  <si>
    <t xml:space="preserve">DAM0418</t>
  </si>
  <si>
    <t xml:space="preserve">Fotografía Digital II</t>
  </si>
  <si>
    <t xml:space="preserve">DAM0419</t>
  </si>
  <si>
    <t xml:space="preserve">Psicología del Diseño</t>
  </si>
  <si>
    <t xml:space="preserve">DAM0520A</t>
  </si>
  <si>
    <t xml:space="preserve">DAM0521A</t>
  </si>
  <si>
    <t xml:space="preserve">Animación Digital 2D</t>
  </si>
  <si>
    <t xml:space="preserve">DAM0522A</t>
  </si>
  <si>
    <t xml:space="preserve">Taller de Creación de Marcas</t>
  </si>
  <si>
    <t xml:space="preserve">DAM0523A</t>
  </si>
  <si>
    <t xml:space="preserve">Fotografía Digital III</t>
  </si>
  <si>
    <t xml:space="preserve">DAM0524A</t>
  </si>
  <si>
    <t xml:space="preserve">DAM0520B</t>
  </si>
  <si>
    <t xml:space="preserve">DAM0521B</t>
  </si>
  <si>
    <t xml:space="preserve">DAM0522B</t>
  </si>
  <si>
    <t xml:space="preserve">DAM0523B</t>
  </si>
  <si>
    <t xml:space="preserve">DAM0524B</t>
  </si>
  <si>
    <t xml:space="preserve">DAM C</t>
  </si>
  <si>
    <t xml:space="preserve">DAM0520C</t>
  </si>
  <si>
    <t xml:space="preserve">DAM0521C</t>
  </si>
  <si>
    <t xml:space="preserve">DAM0522C</t>
  </si>
  <si>
    <t xml:space="preserve">DAM0523C</t>
  </si>
  <si>
    <t xml:space="preserve">DAM0524C</t>
  </si>
  <si>
    <t xml:space="preserve">Diseño Editorial</t>
  </si>
  <si>
    <t xml:space="preserve">DAM0730</t>
  </si>
  <si>
    <t xml:space="preserve">Mercadotecnia y Diseño para Redes Sociales</t>
  </si>
  <si>
    <t xml:space="preserve">DAM0731</t>
  </si>
  <si>
    <t xml:space="preserve">Administración de Empresas Creativas</t>
  </si>
  <si>
    <t xml:space="preserve">DAM0732</t>
  </si>
  <si>
    <t xml:space="preserve">Sistema de Impresión I</t>
  </si>
  <si>
    <t xml:space="preserve">DAM0733</t>
  </si>
  <si>
    <t xml:space="preserve">Producción Audiovisual Multimedia</t>
  </si>
  <si>
    <t xml:space="preserve">DAM0734</t>
  </si>
  <si>
    <t xml:space="preserve">Taller de Diseño Editorial</t>
  </si>
  <si>
    <t xml:space="preserve">DAM0835A</t>
  </si>
  <si>
    <t xml:space="preserve">Taller de Cartel Digital</t>
  </si>
  <si>
    <t xml:space="preserve">DAM0836A</t>
  </si>
  <si>
    <t xml:space="preserve">DAM0837A</t>
  </si>
  <si>
    <t xml:space="preserve">Sistema de Impresión II</t>
  </si>
  <si>
    <t xml:space="preserve">DAM0838A</t>
  </si>
  <si>
    <t xml:space="preserve">MU02A</t>
  </si>
  <si>
    <t xml:space="preserve">DAM0835B</t>
  </si>
  <si>
    <t xml:space="preserve">DAM0836B</t>
  </si>
  <si>
    <t xml:space="preserve">DAM0837B</t>
  </si>
  <si>
    <t xml:space="preserve">DAM0838B</t>
  </si>
  <si>
    <t xml:space="preserve">MU02B</t>
  </si>
  <si>
    <t xml:space="preserve">IRP</t>
  </si>
  <si>
    <t xml:space="preserve"> Introducción a las Relaciones Públicas</t>
  </si>
  <si>
    <t xml:space="preserve">IRP0101</t>
  </si>
  <si>
    <t xml:space="preserve">IRP0102</t>
  </si>
  <si>
    <t xml:space="preserve">Comunicación en Medios Escritos</t>
  </si>
  <si>
    <t xml:space="preserve">IRP0103</t>
  </si>
  <si>
    <t xml:space="preserve">Principios de la Imagen</t>
  </si>
  <si>
    <t xml:space="preserve">IRP0104</t>
  </si>
  <si>
    <t xml:space="preserve">IRO0105</t>
  </si>
  <si>
    <t xml:space="preserve">Administración de Empresas</t>
  </si>
  <si>
    <t xml:space="preserve">IRP0521</t>
  </si>
  <si>
    <t xml:space="preserve">IRP0522</t>
  </si>
  <si>
    <t xml:space="preserve">IRP0523</t>
  </si>
  <si>
    <t xml:space="preserve">Semiótica de la Imagen</t>
  </si>
  <si>
    <t xml:space="preserve">IRP0524</t>
  </si>
  <si>
    <t xml:space="preserve">Antropología Social</t>
  </si>
  <si>
    <t xml:space="preserve">IRP0525</t>
  </si>
  <si>
    <t xml:space="preserve">Inglés para las Relaciones Públicas II</t>
  </si>
  <si>
    <t xml:space="preserve">IRP0836</t>
  </si>
  <si>
    <t xml:space="preserve">Responsabilidad Social y Desarrollo Sustentable</t>
  </si>
  <si>
    <t xml:space="preserve">IRP0837</t>
  </si>
  <si>
    <t xml:space="preserve">Mercadotecnia Política I</t>
  </si>
  <si>
    <t xml:space="preserve">IRP0838</t>
  </si>
  <si>
    <t xml:space="preserve">Identidad e Imagen Corporativa</t>
  </si>
  <si>
    <t xml:space="preserve">IRP0839</t>
  </si>
  <si>
    <t xml:space="preserve">Logística y Montaje de Eventos</t>
  </si>
  <si>
    <t xml:space="preserve">IRP0840</t>
  </si>
  <si>
    <t xml:space="preserve">INT</t>
  </si>
  <si>
    <t xml:space="preserve"> Inglés I</t>
  </si>
  <si>
    <t xml:space="preserve">IT0101</t>
  </si>
  <si>
    <t xml:space="preserve">Gramática Inglesa I</t>
  </si>
  <si>
    <t xml:space="preserve">IT0102</t>
  </si>
  <si>
    <t xml:space="preserve">Gramática Española y Redacción Profesional</t>
  </si>
  <si>
    <t xml:space="preserve">IT0103</t>
  </si>
  <si>
    <t xml:space="preserve">IT0104</t>
  </si>
  <si>
    <t xml:space="preserve">Introducción a la Interpretación y Traducción</t>
  </si>
  <si>
    <t xml:space="preserve">IT0105</t>
  </si>
  <si>
    <t xml:space="preserve">Inglés II</t>
  </si>
  <si>
    <t xml:space="preserve">IT0206</t>
  </si>
  <si>
    <t xml:space="preserve">Gramática Inglesa II</t>
  </si>
  <si>
    <t xml:space="preserve">IT0207</t>
  </si>
  <si>
    <t xml:space="preserve">Lingüística Aplicada a la Traducción</t>
  </si>
  <si>
    <t xml:space="preserve">IT0208</t>
  </si>
  <si>
    <t xml:space="preserve">Historia de la Cultura Europea</t>
  </si>
  <si>
    <t xml:space="preserve">IT0209</t>
  </si>
  <si>
    <t xml:space="preserve">Inglés IV</t>
  </si>
  <si>
    <t xml:space="preserve">IT0415</t>
  </si>
  <si>
    <t xml:space="preserve">Gramática Comparativa Inglés-Español</t>
  </si>
  <si>
    <t xml:space="preserve">IT0416</t>
  </si>
  <si>
    <t xml:space="preserve">Lectura y Redacción Avanzadas para Traductores en Inglés</t>
  </si>
  <si>
    <t xml:space="preserve">IT0417</t>
  </si>
  <si>
    <t xml:space="preserve">Taller de Traducción Médica Especializada II</t>
  </si>
  <si>
    <t xml:space="preserve">IT0418</t>
  </si>
  <si>
    <t xml:space="preserve">Taller de Interpretación Simultánea y Consecutiva Médica Especializada II</t>
  </si>
  <si>
    <t xml:space="preserve">IT0419</t>
  </si>
  <si>
    <t xml:space="preserve">INT A</t>
  </si>
  <si>
    <t xml:space="preserve">Inglés V</t>
  </si>
  <si>
    <t xml:space="preserve">IT0520A</t>
  </si>
  <si>
    <t xml:space="preserve">Lengua Extranjera – Chino I</t>
  </si>
  <si>
    <t xml:space="preserve">IT0521A</t>
  </si>
  <si>
    <t xml:space="preserve">Terminología Especializada en Economía Inglés Español</t>
  </si>
  <si>
    <t xml:space="preserve">IT0522A</t>
  </si>
  <si>
    <t xml:space="preserve">Taller de Traducción Económica y Mercados Bursátiles</t>
  </si>
  <si>
    <t xml:space="preserve">IT0523A</t>
  </si>
  <si>
    <t xml:space="preserve">Taller de Interpretación Simultánea y Consecutiva Económica y Mercados Bursátiles</t>
  </si>
  <si>
    <t xml:space="preserve"> IT0524A</t>
  </si>
  <si>
    <t xml:space="preserve">INT B</t>
  </si>
  <si>
    <t xml:space="preserve">IT0520B</t>
  </si>
  <si>
    <t xml:space="preserve">IT0521B</t>
  </si>
  <si>
    <t xml:space="preserve">IT0522B</t>
  </si>
  <si>
    <t xml:space="preserve">IT0523B</t>
  </si>
  <si>
    <t xml:space="preserve"> IT0524B</t>
  </si>
  <si>
    <t xml:space="preserve">Inglés VII</t>
  </si>
  <si>
    <t xml:space="preserve">IT0730</t>
  </si>
  <si>
    <t xml:space="preserve">Lengua Extranjera – Chino III</t>
  </si>
  <si>
    <t xml:space="preserve">IT0731</t>
  </si>
  <si>
    <t xml:space="preserve">Terminología Especializada Jurídica Inglés-Español</t>
  </si>
  <si>
    <t xml:space="preserve">IT0732</t>
  </si>
  <si>
    <t xml:space="preserve">Taller de Traducción Legal I</t>
  </si>
  <si>
    <t xml:space="preserve">IT0733</t>
  </si>
  <si>
    <t xml:space="preserve">Taller de Interpretación Simultánea y Consecutiva Legal I</t>
  </si>
  <si>
    <t xml:space="preserve">IT0734</t>
  </si>
  <si>
    <t xml:space="preserve">Inglés VIII</t>
  </si>
  <si>
    <t xml:space="preserve">IT0835A</t>
  </si>
  <si>
    <t xml:space="preserve">Lengua Extranjera Chino IV</t>
  </si>
  <si>
    <t xml:space="preserve">IT0836A</t>
  </si>
  <si>
    <t xml:space="preserve">Taller de Interpretación Simultánea y Consecutiva Legal II</t>
  </si>
  <si>
    <t xml:space="preserve">IT0837A</t>
  </si>
  <si>
    <t xml:space="preserve">Taller de Traducción Legal II</t>
  </si>
  <si>
    <t xml:space="preserve">IT0838A</t>
  </si>
  <si>
    <t xml:space="preserve">IT0835B</t>
  </si>
  <si>
    <t xml:space="preserve">IT0836B</t>
  </si>
  <si>
    <t xml:space="preserve">IT0837B</t>
  </si>
  <si>
    <t xml:space="preserve">IT0838B</t>
  </si>
  <si>
    <t xml:space="preserve">INT C</t>
  </si>
  <si>
    <t xml:space="preserve">IT0835C</t>
  </si>
  <si>
    <t xml:space="preserve">IT0836C</t>
  </si>
  <si>
    <t xml:space="preserve">IT0837C</t>
  </si>
  <si>
    <t xml:space="preserve">IT0838C</t>
  </si>
  <si>
    <t xml:space="preserve">MU02C</t>
  </si>
  <si>
    <t xml:space="preserve">Inglés IX</t>
  </si>
  <si>
    <t xml:space="preserve">INT0939</t>
  </si>
  <si>
    <t xml:space="preserve">Taller de Traducción de Chino  – Español</t>
  </si>
  <si>
    <t xml:space="preserve">INT0940</t>
  </si>
  <si>
    <t xml:space="preserve">Terminología Especializada en Mercadotecnia y Diseño Inglés-Español</t>
  </si>
  <si>
    <t xml:space="preserve">INT0941</t>
  </si>
  <si>
    <t xml:space="preserve">Taller de Traducción de Textos Especializados I</t>
  </si>
  <si>
    <t xml:space="preserve">INT0942</t>
  </si>
  <si>
    <t xml:space="preserve">Taller de Interpretación Simultánea y Consecutiva en Mercadotecnia y Diseño</t>
  </si>
  <si>
    <t xml:space="preserve">INT0943</t>
  </si>
  <si>
    <t xml:space="preserve"> Inglés X</t>
  </si>
  <si>
    <t xml:space="preserve">INT1044</t>
  </si>
  <si>
    <t xml:space="preserve">Taller de Interpretación Consecutiva y Simultánea Chino  – Español</t>
  </si>
  <si>
    <t xml:space="preserve">INT1045</t>
  </si>
  <si>
    <t xml:space="preserve">Terminología Especializada en Humanidades Inglés – Español</t>
  </si>
  <si>
    <t xml:space="preserve">INT1046</t>
  </si>
  <si>
    <t xml:space="preserve">Taller de Traducción de Textos Especializados II</t>
  </si>
  <si>
    <t xml:space="preserve">INT1047</t>
  </si>
  <si>
    <t xml:space="preserve">Taller de Interpretación Simultánea y Consecutiva de Conferencias</t>
  </si>
  <si>
    <t xml:space="preserve">INT1048</t>
  </si>
  <si>
    <t xml:space="preserve">MKT</t>
  </si>
  <si>
    <t xml:space="preserve">Introducción a la Mercadotecnia</t>
  </si>
  <si>
    <t xml:space="preserve">MKT0101</t>
  </si>
  <si>
    <t xml:space="preserve">Comunicación Gráfica Digital</t>
  </si>
  <si>
    <t xml:space="preserve">MKT0102</t>
  </si>
  <si>
    <t xml:space="preserve">Fundamentos de Administración</t>
  </si>
  <si>
    <t xml:space="preserve">MKT0103</t>
  </si>
  <si>
    <t xml:space="preserve">Fundamentos de Contabilidad</t>
  </si>
  <si>
    <t xml:space="preserve">MKT0104</t>
  </si>
  <si>
    <t xml:space="preserve">MKT0105</t>
  </si>
  <si>
    <t xml:space="preserve">Fundamentos de Investigación de Mercados</t>
  </si>
  <si>
    <t xml:space="preserve">MKT0206</t>
  </si>
  <si>
    <t xml:space="preserve">Mezcla Promocional</t>
  </si>
  <si>
    <t xml:space="preserve">MKT0207</t>
  </si>
  <si>
    <t xml:space="preserve">Comunicación y Medios Digitales</t>
  </si>
  <si>
    <t xml:space="preserve">MKT0208</t>
  </si>
  <si>
    <t xml:space="preserve">Estrategia Descriptiva</t>
  </si>
  <si>
    <t xml:space="preserve">MKT0209</t>
  </si>
  <si>
    <t xml:space="preserve">Metología de la Investigación</t>
  </si>
  <si>
    <t xml:space="preserve">Mercadotecnia de Servicios</t>
  </si>
  <si>
    <t xml:space="preserve">MKT0835</t>
  </si>
  <si>
    <t xml:space="preserve">Cartera de Clientes y Mercadotecnia Directa</t>
  </si>
  <si>
    <t xml:space="preserve">MKT0836</t>
  </si>
  <si>
    <t xml:space="preserve">MKT0837</t>
  </si>
  <si>
    <t xml:space="preserve">Mercadotecnia para PYMES</t>
  </si>
  <si>
    <t xml:space="preserve">MKT0838</t>
  </si>
  <si>
    <t xml:space="preserve">MU02</t>
  </si>
  <si>
    <t xml:space="preserve">NEG</t>
  </si>
  <si>
    <t xml:space="preserve">Introducción a la Industria del Entretenimiento</t>
  </si>
  <si>
    <t xml:space="preserve">NE0101</t>
  </si>
  <si>
    <t xml:space="preserve">Fundamentos de Administración y Planeación</t>
  </si>
  <si>
    <t xml:space="preserve">NE0102</t>
  </si>
  <si>
    <t xml:space="preserve">NE0103</t>
  </si>
  <si>
    <t xml:space="preserve">Concepción y Formulación de Proyectos</t>
  </si>
  <si>
    <t xml:space="preserve">NE0104</t>
  </si>
  <si>
    <t xml:space="preserve">Fundamentos de Innovación y Creatividad</t>
  </si>
  <si>
    <t xml:space="preserve">NE0105</t>
  </si>
  <si>
    <t xml:space="preserve">Ocio, Sociedad y Nuevas Tecnologías</t>
  </si>
  <si>
    <t xml:space="preserve">NE0206</t>
  </si>
  <si>
    <t xml:space="preserve">Matemáticas para Negocios</t>
  </si>
  <si>
    <t xml:space="preserve">NE0207</t>
  </si>
  <si>
    <t xml:space="preserve">Análisis de Costos</t>
  </si>
  <si>
    <t xml:space="preserve">NE0208</t>
  </si>
  <si>
    <t xml:space="preserve">Presentación de Propuestas de Proyectos</t>
  </si>
  <si>
    <t xml:space="preserve">NE0209</t>
  </si>
  <si>
    <t xml:space="preserve">Inteligencia Emocional</t>
  </si>
  <si>
    <t xml:space="preserve">NE0210</t>
  </si>
  <si>
    <t xml:space="preserve">Inglés I</t>
  </si>
  <si>
    <t xml:space="preserve">NE0311</t>
  </si>
  <si>
    <t xml:space="preserve">Evaluación Financiera de Proyectos de Entretenimiento</t>
  </si>
  <si>
    <t xml:space="preserve">NE0312</t>
  </si>
  <si>
    <t xml:space="preserve">Negociación</t>
  </si>
  <si>
    <t xml:space="preserve">NE0313</t>
  </si>
  <si>
    <t xml:space="preserve">Herramientas de Promoción</t>
  </si>
  <si>
    <t xml:space="preserve">NE0314</t>
  </si>
  <si>
    <t xml:space="preserve">Metodología de la Creatividad</t>
  </si>
  <si>
    <t xml:space="preserve">NE0315</t>
  </si>
  <si>
    <t xml:space="preserve">Fundamentos de Producción de Eventos</t>
  </si>
  <si>
    <t xml:space="preserve">NE0521</t>
  </si>
  <si>
    <t xml:space="preserve">Modelo de Negocios</t>
  </si>
  <si>
    <t xml:space="preserve">NE0522</t>
  </si>
  <si>
    <t xml:space="preserve">Administración de la Producción</t>
  </si>
  <si>
    <t xml:space="preserve">NE0523</t>
  </si>
  <si>
    <t xml:space="preserve">Equipos y Materiales</t>
  </si>
  <si>
    <t xml:space="preserve">NE0524</t>
  </si>
  <si>
    <t xml:space="preserve">Innovación y Creatividad en Negocios de Entretenimiento</t>
  </si>
  <si>
    <t xml:space="preserve">NE0525</t>
  </si>
  <si>
    <t xml:space="preserve">Taller de Pre-Producción de Eventos</t>
  </si>
  <si>
    <t xml:space="preserve">NE0836</t>
  </si>
  <si>
    <t xml:space="preserve">Consultoría de Negocios</t>
  </si>
  <si>
    <t xml:space="preserve">NE0837</t>
  </si>
  <si>
    <t xml:space="preserve">Capital Humano</t>
  </si>
  <si>
    <t xml:space="preserve">NE0838</t>
  </si>
  <si>
    <t xml:space="preserve">Responsabilidad Social</t>
  </si>
  <si>
    <t xml:space="preserve">NE0839</t>
  </si>
  <si>
    <t xml:space="preserve">NE0840</t>
  </si>
  <si>
    <t xml:space="preserve">MRP</t>
  </si>
  <si>
    <t xml:space="preserve">MRP0101</t>
  </si>
  <si>
    <t xml:space="preserve">MRP0102</t>
  </si>
  <si>
    <t xml:space="preserve">MRP0103</t>
  </si>
  <si>
    <t xml:space="preserve">MRP0104</t>
  </si>
  <si>
    <t xml:space="preserve">MRP0105</t>
  </si>
  <si>
    <t xml:space="preserve">MRP0626</t>
  </si>
  <si>
    <t xml:space="preserve">MRP0627</t>
  </si>
  <si>
    <t xml:space="preserve">Relaciones Publicas en la Red</t>
  </si>
  <si>
    <t xml:space="preserve">MRP0628</t>
  </si>
  <si>
    <t xml:space="preserve">Estrategias Creativas y Publicitarias</t>
  </si>
  <si>
    <t xml:space="preserve">MRP0629</t>
  </si>
  <si>
    <t xml:space="preserve">MRP0630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</si>
</sst>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B77A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44B3E1"/>
        <bgColor rgb="FF3399FF"/>
      </patternFill>
    </fill>
    <fill>
      <patternFill patternType="solid">
        <fgColor rgb="FFBE5014"/>
        <bgColor rgb="FF993366"/>
      </patternFill>
    </fill>
    <fill>
      <patternFill patternType="solid">
        <fgColor rgb="FF8ED973"/>
        <bgColor rgb="FF84E291"/>
      </patternFill>
    </fill>
    <fill>
      <patternFill patternType="solid">
        <fgColor rgb="FF3B7D23"/>
        <bgColor rgb="FF008000"/>
      </patternFill>
    </fill>
    <fill>
      <patternFill patternType="solid">
        <fgColor rgb="FFD9F2D0"/>
        <bgColor rgb="FFC2F1C8"/>
      </patternFill>
    </fill>
    <fill>
      <patternFill patternType="solid">
        <fgColor rgb="FFF2CFEE"/>
        <bgColor rgb="FFF2CEEF"/>
      </patternFill>
    </fill>
    <fill>
      <patternFill patternType="solid">
        <fgColor rgb="FFF2CEEF"/>
        <bgColor rgb="FFF2CFEE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2CFEE"/>
      </patternFill>
    </fill>
    <fill>
      <patternFill patternType="solid">
        <fgColor rgb="FF808080"/>
        <bgColor rgb="FF808000"/>
      </patternFill>
    </fill>
    <fill>
      <patternFill patternType="solid">
        <fgColor rgb="FF3A3A3A"/>
        <bgColor rgb="FF333300"/>
      </patternFill>
    </fill>
    <fill>
      <patternFill patternType="solid">
        <fgColor rgb="FFC2F1C8"/>
        <bgColor rgb="FFD9F2D0"/>
      </patternFill>
    </fill>
    <fill>
      <patternFill patternType="solid">
        <fgColor rgb="FFB4E5A2"/>
        <bgColor rgb="FFC2F1C8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/>
      <diagonal/>
    </border>
    <border diagonalUp="false" diagonalDown="false">
      <left style="thin">
        <color rgb="FFF2F2F2"/>
      </left>
      <right/>
      <top style="thin">
        <color rgb="FFF2F2F2"/>
      </top>
      <bottom/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F2F2F2"/>
      </right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9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9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9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5" fillId="9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1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1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5" fillId="1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10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ill>
        <patternFill>
          <bgColor rgb="FFFFFFFF"/>
        </patternFill>
      </fill>
    </dxf>
    <dxf>
      <fill>
        <patternFill>
          <bgColor rgb="FF84E291"/>
        </patternFill>
      </fill>
    </dxf>
    <dxf>
      <fill>
        <patternFill>
          <bgColor rgb="FF61CBF4"/>
        </patternFill>
      </fill>
    </dxf>
    <dxf>
      <fill>
        <patternFill>
          <bgColor rgb="FFF2AA8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FF6969"/>
        </patternFill>
      </fill>
    </dxf>
    <dxf>
      <fill>
        <patternFill>
          <bgColor rgb="FFBA75FF"/>
        </patternFill>
      </fill>
    </dxf>
    <dxf>
      <fill>
        <patternFill>
          <bgColor rgb="FFD1A3FF"/>
        </patternFill>
      </fill>
    </dxf>
    <dxf>
      <fill>
        <patternFill>
          <bgColor rgb="FF3399FF"/>
        </patternFill>
      </fill>
    </dxf>
    <dxf>
      <fill>
        <patternFill>
          <bgColor rgb="FFCCECFF"/>
        </patternFill>
      </fill>
    </dxf>
    <dxf>
      <fill>
        <patternFill>
          <bgColor rgb="FFFF6DFF"/>
        </patternFill>
      </fill>
    </dxf>
    <dxf>
      <fill>
        <patternFill>
          <bgColor rgb="FFFFB9DC"/>
        </patternFill>
      </fill>
    </dxf>
    <dxf>
      <fill>
        <patternFill>
          <bgColor rgb="FFFFCC66"/>
        </patternFill>
      </fill>
    </dxf>
    <dxf>
      <fill>
        <patternFill>
          <bgColor rgb="FFFFFF66"/>
        </patternFill>
      </fill>
    </dxf>
    <dxf>
      <fill>
        <patternFill>
          <bgColor rgb="FFFFFFCC"/>
        </patternFill>
      </fill>
    </dxf>
    <dxf>
      <fill>
        <patternFill>
          <bgColor rgb="FFD86ECC"/>
        </patternFill>
      </fill>
    </dxf>
    <dxf>
      <fill>
        <patternFill>
          <bgColor rgb="FFF2CFEE"/>
        </patternFill>
      </fill>
    </dxf>
    <dxf>
      <fill>
        <patternFill>
          <bgColor rgb="FFF2AA84"/>
        </patternFill>
      </fill>
    </dxf>
    <dxf>
      <fill>
        <patternFill>
          <bgColor rgb="FFFBE3D6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2F2F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B4E5A2"/>
        </patternFill>
      </fill>
    </dxf>
    <dxf>
      <fill>
        <patternFill patternType="solid">
          <fgColor rgb="FFC2F1C8"/>
        </patternFill>
      </fill>
    </dxf>
    <dxf>
      <fill>
        <patternFill patternType="solid">
          <fgColor rgb="FFD9F2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6DFF"/>
      <rgbColor rgb="FFF2F2F2"/>
      <rgbColor rgb="FFC00000"/>
      <rgbColor rgb="FF008000"/>
      <rgbColor rgb="FF000080"/>
      <rgbColor rgb="FF808000"/>
      <rgbColor rgb="FF800080"/>
      <rgbColor rgb="FF0B77A0"/>
      <rgbColor rgb="FFBFBFBF"/>
      <rgbColor rgb="FF808080"/>
      <rgbColor rgb="FFBA75FF"/>
      <rgbColor rgb="FF993366"/>
      <rgbColor rgb="FFFFFFCC"/>
      <rgbColor rgb="FFCCECFF"/>
      <rgbColor rgb="FF660066"/>
      <rgbColor rgb="FFFF6969"/>
      <rgbColor rgb="FF0066CC"/>
      <rgbColor rgb="FFD9D9D9"/>
      <rgbColor rgb="FF000080"/>
      <rgbColor rgb="FFFF00FF"/>
      <rgbColor rgb="FFFBE3D6"/>
      <rgbColor rgb="FF00FFFF"/>
      <rgbColor rgb="FF800080"/>
      <rgbColor rgb="FF800000"/>
      <rgbColor rgb="FF008080"/>
      <rgbColor rgb="FF0000FF"/>
      <rgbColor rgb="FF84E291"/>
      <rgbColor rgb="FFD9F2D0"/>
      <rgbColor rgb="FFC2F1C8"/>
      <rgbColor rgb="FFFFFF66"/>
      <rgbColor rgb="FF61CBF4"/>
      <rgbColor rgb="FFFFB9DC"/>
      <rgbColor rgb="FFD1A3FF"/>
      <rgbColor rgb="FFFFCC66"/>
      <rgbColor rgb="FF3399FF"/>
      <rgbColor rgb="FF44B3E1"/>
      <rgbColor rgb="FF8ED973"/>
      <rgbColor rgb="FFB4E5A2"/>
      <rgbColor rgb="FFF2AA84"/>
      <rgbColor rgb="FFF2CEEF"/>
      <rgbColor rgb="FFF2CFEE"/>
      <rgbColor rgb="FFD86ECC"/>
      <rgbColor rgb="FF003366"/>
      <rgbColor rgb="FF3B7D23"/>
      <rgbColor rgb="FF003300"/>
      <rgbColor rgb="FF333300"/>
      <rgbColor rgb="FFBE5014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14040</xdr:colOff>
      <xdr:row>0</xdr:row>
      <xdr:rowOff>14040</xdr:rowOff>
    </xdr:from>
    <xdr:to>
      <xdr:col>1</xdr:col>
      <xdr:colOff>1054440</xdr:colOff>
      <xdr:row>2</xdr:row>
      <xdr:rowOff>144000</xdr:rowOff>
    </xdr:to>
    <xdr:pic>
      <xdr:nvPicPr>
        <xdr:cNvPr id="0" name="Imagen 1" descr=""/>
        <xdr:cNvPicPr/>
      </xdr:nvPicPr>
      <xdr:blipFill>
        <a:blip r:embed="rId1"/>
        <a:srcRect l="10001" t="13893" r="9104" b="7712"/>
        <a:stretch/>
      </xdr:blipFill>
      <xdr:spPr>
        <a:xfrm>
          <a:off x="331560" y="14040"/>
          <a:ext cx="1040400" cy="520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ron.bruce.mx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G38" activeCellId="0" sqref="G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7.71"/>
    <col collapsed="false" customWidth="true" hidden="false" outlineLevel="0" max="8" min="3" style="0" width="13.85"/>
    <col collapsed="false" customWidth="true" hidden="false" outlineLevel="0" max="9" min="9" style="0" width="29.86"/>
    <col collapsed="false" customWidth="true" hidden="false" outlineLevel="0" max="10" min="10" style="0" width="4.43"/>
    <col collapsed="false" customWidth="true" hidden="true" outlineLevel="0" max="11" min="11" style="0" width="4.14"/>
    <col collapsed="false" customWidth="true" hidden="true" outlineLevel="0" max="12" min="12" style="0" width="14.71"/>
    <col collapsed="false" customWidth="true" hidden="true" outlineLevel="0" max="18" min="13" style="0" width="13.85"/>
    <col collapsed="false" customWidth="true" hidden="false" outlineLevel="0" max="19" min="19" style="0" width="7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false" outlineLevel="0" collapsed="false">
      <c r="A2" s="2"/>
      <c r="B2" s="3" t="s">
        <v>0</v>
      </c>
      <c r="C2" s="3"/>
      <c r="D2" s="3"/>
      <c r="E2" s="3"/>
      <c r="F2" s="3"/>
      <c r="G2" s="3"/>
      <c r="H2" s="3"/>
      <c r="K2" s="2"/>
      <c r="L2" s="3" t="s">
        <v>0</v>
      </c>
      <c r="M2" s="3"/>
      <c r="N2" s="3"/>
      <c r="O2" s="3"/>
      <c r="P2" s="3"/>
      <c r="Q2" s="3"/>
      <c r="R2" s="3"/>
      <c r="S2" s="2"/>
    </row>
    <row r="3" customFormat="false" ht="15" hidden="false" customHeight="false" outlineLevel="0" collapsed="false">
      <c r="A3" s="2"/>
      <c r="B3" s="4"/>
      <c r="C3" s="4"/>
      <c r="D3" s="4"/>
      <c r="E3" s="4"/>
      <c r="F3" s="4"/>
      <c r="G3" s="4" t="s">
        <v>1</v>
      </c>
      <c r="K3" s="2"/>
      <c r="L3" s="4"/>
      <c r="M3" s="4"/>
      <c r="N3" s="4"/>
      <c r="O3" s="4"/>
      <c r="P3" s="4"/>
      <c r="Q3" s="4" t="s">
        <v>1</v>
      </c>
      <c r="R3" s="4"/>
      <c r="S3" s="2"/>
    </row>
    <row r="4" customFormat="false" ht="15" hidden="false" customHeight="false" outlineLevel="0" collapsed="false">
      <c r="A4" s="2"/>
      <c r="B4" s="5" t="s">
        <v>2</v>
      </c>
      <c r="C4" s="6" t="s">
        <v>3</v>
      </c>
      <c r="D4" s="6"/>
      <c r="E4" s="6"/>
      <c r="F4" s="6"/>
      <c r="G4" s="6"/>
      <c r="H4" s="7"/>
      <c r="K4" s="2"/>
      <c r="L4" s="5" t="s">
        <v>2</v>
      </c>
      <c r="M4" s="6" t="str">
        <f aca="false">C4</f>
        <v>Bruce David Marron</v>
      </c>
      <c r="N4" s="6"/>
      <c r="O4" s="6"/>
      <c r="P4" s="6"/>
      <c r="Q4" s="6"/>
      <c r="R4" s="7"/>
      <c r="S4" s="2"/>
    </row>
    <row r="5" customFormat="false" ht="20.25" hidden="false" customHeight="true" outlineLevel="0" collapsed="false">
      <c r="A5" s="2"/>
      <c r="B5" s="5" t="s">
        <v>4</v>
      </c>
      <c r="C5" s="8" t="s">
        <v>5</v>
      </c>
      <c r="D5" s="8"/>
      <c r="E5" s="8"/>
      <c r="F5" s="8"/>
      <c r="G5" s="8"/>
      <c r="H5" s="7"/>
      <c r="K5" s="2"/>
      <c r="L5" s="5" t="s">
        <v>4</v>
      </c>
      <c r="M5" s="8" t="str">
        <f aca="false">C5</f>
        <v>Docente / Profe</v>
      </c>
      <c r="N5" s="8"/>
      <c r="O5" s="8"/>
      <c r="P5" s="8"/>
      <c r="Q5" s="8"/>
      <c r="R5" s="7"/>
      <c r="S5" s="2"/>
    </row>
    <row r="6" customFormat="false" ht="20.25" hidden="false" customHeight="true" outlineLevel="0" collapsed="false">
      <c r="A6" s="2"/>
      <c r="B6" s="5" t="s">
        <v>6</v>
      </c>
      <c r="C6" s="6"/>
      <c r="D6" s="6"/>
      <c r="E6" s="5" t="s">
        <v>7</v>
      </c>
      <c r="F6" s="6" t="s">
        <v>8</v>
      </c>
      <c r="G6" s="6"/>
      <c r="H6" s="9"/>
      <c r="K6" s="2"/>
      <c r="L6" s="5" t="s">
        <v>6</v>
      </c>
      <c r="M6" s="6" t="n">
        <f aca="false">C6</f>
        <v>0</v>
      </c>
      <c r="N6" s="6"/>
      <c r="O6" s="5" t="s">
        <v>7</v>
      </c>
      <c r="P6" s="6" t="str">
        <f aca="false">F6</f>
        <v>55 4190 9628</v>
      </c>
      <c r="Q6" s="6"/>
      <c r="R6" s="9"/>
      <c r="S6" s="2"/>
    </row>
    <row r="7" customFormat="false" ht="20.25" hidden="false" customHeight="true" outlineLevel="0" collapsed="false">
      <c r="A7" s="2"/>
      <c r="B7" s="5" t="s">
        <v>9</v>
      </c>
      <c r="C7" s="6" t="s">
        <v>10</v>
      </c>
      <c r="D7" s="6"/>
      <c r="E7" s="6"/>
      <c r="F7" s="6"/>
      <c r="G7" s="6"/>
      <c r="H7" s="9"/>
      <c r="K7" s="2"/>
      <c r="L7" s="5" t="s">
        <v>9</v>
      </c>
      <c r="M7" s="6" t="str">
        <f aca="false">C7</f>
        <v>marron.bruce.mx@gmail.com</v>
      </c>
      <c r="N7" s="6"/>
      <c r="O7" s="6"/>
      <c r="P7" s="6"/>
      <c r="Q7" s="6"/>
      <c r="R7" s="9"/>
      <c r="S7" s="2"/>
    </row>
    <row r="8" customFormat="false" ht="20.25" hidden="false" customHeight="true" outlineLevel="0" collapsed="false">
      <c r="A8" s="2"/>
      <c r="B8" s="5"/>
      <c r="C8" s="10"/>
      <c r="D8" s="10"/>
      <c r="E8" s="10"/>
      <c r="F8" s="9"/>
      <c r="G8" s="9"/>
      <c r="H8" s="9"/>
      <c r="K8" s="2"/>
      <c r="L8" s="5"/>
      <c r="M8" s="10"/>
      <c r="N8" s="10"/>
      <c r="O8" s="10"/>
      <c r="P8" s="9"/>
      <c r="Q8" s="9"/>
      <c r="R8" s="9"/>
      <c r="S8" s="2"/>
    </row>
    <row r="9" customFormat="false" ht="20.25" hidden="false" customHeight="true" outlineLevel="0" collapsed="false">
      <c r="A9" s="2"/>
      <c r="B9" s="11" t="s">
        <v>11</v>
      </c>
      <c r="C9" s="11"/>
      <c r="D9" s="11"/>
      <c r="E9" s="11"/>
      <c r="F9" s="11"/>
      <c r="G9" s="11"/>
      <c r="H9" s="9"/>
      <c r="K9" s="2"/>
      <c r="L9" s="5"/>
      <c r="N9" s="9"/>
      <c r="O9" s="9"/>
      <c r="P9" s="9"/>
      <c r="Q9" s="9"/>
      <c r="R9" s="9"/>
      <c r="S9" s="2"/>
    </row>
    <row r="10" customFormat="false" ht="20.25" hidden="false" customHeight="true" outlineLevel="0" collapsed="false">
      <c r="A10" s="12" t="n">
        <v>1</v>
      </c>
      <c r="B10" s="13" t="s">
        <v>12</v>
      </c>
      <c r="C10" s="13"/>
      <c r="D10" s="13"/>
      <c r="E10" s="13"/>
      <c r="F10" s="13"/>
      <c r="G10" s="13"/>
      <c r="H10" s="14"/>
      <c r="K10" s="15"/>
      <c r="L10" s="5"/>
      <c r="N10" s="9"/>
      <c r="O10" s="9"/>
      <c r="P10" s="9"/>
      <c r="Q10" s="9"/>
      <c r="R10" s="9"/>
      <c r="S10" s="2"/>
    </row>
    <row r="11" customFormat="false" ht="20.25" hidden="false" customHeight="true" outlineLevel="0" collapsed="false">
      <c r="A11" s="16" t="n">
        <v>2</v>
      </c>
      <c r="B11" s="13" t="s">
        <v>13</v>
      </c>
      <c r="C11" s="13"/>
      <c r="D11" s="13"/>
      <c r="E11" s="13"/>
      <c r="F11" s="13"/>
      <c r="G11" s="13"/>
      <c r="H11" s="14"/>
      <c r="K11" s="15"/>
      <c r="L11" s="5"/>
      <c r="N11" s="9"/>
      <c r="O11" s="9"/>
      <c r="P11" s="9"/>
      <c r="Q11" s="9"/>
      <c r="R11" s="9"/>
      <c r="S11" s="2"/>
    </row>
    <row r="12" customFormat="false" ht="15.75" hidden="false" customHeight="false" outlineLevel="0" collapsed="false">
      <c r="A12" s="17" t="s">
        <v>14</v>
      </c>
      <c r="B12" s="13" t="s">
        <v>15</v>
      </c>
      <c r="C12" s="13"/>
      <c r="D12" s="13"/>
      <c r="E12" s="13"/>
      <c r="F12" s="13"/>
      <c r="G12" s="13"/>
      <c r="H12" s="14"/>
      <c r="K12" s="15"/>
      <c r="L12" s="5"/>
      <c r="N12" s="9"/>
      <c r="O12" s="9"/>
      <c r="P12" s="9"/>
      <c r="Q12" s="9"/>
      <c r="R12" s="9"/>
      <c r="S12" s="2"/>
    </row>
    <row r="13" customFormat="false" ht="15.75" hidden="false" customHeight="false" outlineLevel="0" collapsed="false">
      <c r="A13" s="15"/>
      <c r="B13" s="5"/>
      <c r="C13" s="9"/>
      <c r="D13" s="9"/>
      <c r="E13" s="9"/>
      <c r="F13" s="9"/>
      <c r="G13" s="9"/>
      <c r="H13" s="9"/>
      <c r="K13" s="2"/>
      <c r="L13" s="9"/>
      <c r="M13" s="9"/>
      <c r="N13" s="9"/>
      <c r="O13" s="9"/>
      <c r="P13" s="9"/>
      <c r="Q13" s="9"/>
      <c r="R13" s="9"/>
      <c r="S13" s="2"/>
    </row>
    <row r="14" customFormat="false" ht="29.25" hidden="false" customHeight="true" outlineLevel="0" collapsed="false">
      <c r="A14" s="2"/>
      <c r="B14" s="18" t="s">
        <v>16</v>
      </c>
      <c r="C14" s="19" t="s">
        <v>17</v>
      </c>
      <c r="D14" s="19" t="s">
        <v>18</v>
      </c>
      <c r="E14" s="19" t="s">
        <v>19</v>
      </c>
      <c r="F14" s="20" t="s">
        <v>20</v>
      </c>
      <c r="G14" s="20" t="s">
        <v>21</v>
      </c>
      <c r="H14" s="21"/>
      <c r="K14" s="2"/>
      <c r="L14" s="18" t="s">
        <v>16</v>
      </c>
      <c r="M14" s="18" t="s">
        <v>17</v>
      </c>
      <c r="N14" s="18" t="s">
        <v>18</v>
      </c>
      <c r="O14" s="18" t="s">
        <v>19</v>
      </c>
      <c r="P14" s="18" t="s">
        <v>20</v>
      </c>
      <c r="Q14" s="18" t="s">
        <v>21</v>
      </c>
      <c r="R14" s="21"/>
      <c r="S14" s="2"/>
    </row>
    <row r="15" customFormat="false" ht="18" hidden="false" customHeight="true" outlineLevel="0" collapsed="false">
      <c r="A15" s="22" t="s">
        <v>22</v>
      </c>
      <c r="B15" s="23" t="s">
        <v>23</v>
      </c>
      <c r="C15" s="24"/>
      <c r="D15" s="24"/>
      <c r="E15" s="24"/>
      <c r="F15" s="25"/>
      <c r="G15" s="24"/>
      <c r="H15" s="26"/>
      <c r="K15" s="22" t="s">
        <v>22</v>
      </c>
      <c r="L15" s="27" t="s">
        <v>23</v>
      </c>
      <c r="M15" s="24"/>
      <c r="N15" s="24"/>
      <c r="O15" s="24"/>
      <c r="P15" s="24"/>
      <c r="Q15" s="24"/>
      <c r="R15" s="26"/>
      <c r="S15" s="2"/>
    </row>
    <row r="16" customFormat="false" ht="18" hidden="false" customHeight="true" outlineLevel="0" collapsed="false">
      <c r="A16" s="22"/>
      <c r="B16" s="23" t="s">
        <v>24</v>
      </c>
      <c r="C16" s="24"/>
      <c r="D16" s="24"/>
      <c r="E16" s="24"/>
      <c r="F16" s="25"/>
      <c r="G16" s="24"/>
      <c r="H16" s="26"/>
      <c r="K16" s="22"/>
      <c r="L16" s="27" t="s">
        <v>24</v>
      </c>
      <c r="M16" s="24"/>
      <c r="N16" s="24"/>
      <c r="O16" s="24"/>
      <c r="P16" s="24"/>
      <c r="Q16" s="24"/>
      <c r="R16" s="26"/>
      <c r="S16" s="2"/>
    </row>
    <row r="17" customFormat="false" ht="18" hidden="false" customHeight="true" outlineLevel="0" collapsed="false">
      <c r="A17" s="22"/>
      <c r="B17" s="23" t="s">
        <v>25</v>
      </c>
      <c r="C17" s="24"/>
      <c r="D17" s="24"/>
      <c r="E17" s="24"/>
      <c r="F17" s="25"/>
      <c r="G17" s="24"/>
      <c r="H17" s="26"/>
      <c r="K17" s="22"/>
      <c r="L17" s="27" t="s">
        <v>25</v>
      </c>
      <c r="M17" s="24"/>
      <c r="N17" s="24"/>
      <c r="O17" s="24"/>
      <c r="P17" s="24"/>
      <c r="Q17" s="24"/>
      <c r="R17" s="26"/>
      <c r="S17" s="2"/>
    </row>
    <row r="18" customFormat="false" ht="18" hidden="false" customHeight="true" outlineLevel="0" collapsed="false">
      <c r="A18" s="22"/>
      <c r="B18" s="23" t="s">
        <v>26</v>
      </c>
      <c r="C18" s="24"/>
      <c r="D18" s="24"/>
      <c r="E18" s="24"/>
      <c r="F18" s="25"/>
      <c r="G18" s="24"/>
      <c r="H18" s="26"/>
      <c r="K18" s="22"/>
      <c r="L18" s="27" t="s">
        <v>26</v>
      </c>
      <c r="M18" s="24"/>
      <c r="N18" s="24"/>
      <c r="O18" s="24"/>
      <c r="P18" s="24"/>
      <c r="Q18" s="24"/>
      <c r="R18" s="26"/>
      <c r="S18" s="2"/>
    </row>
    <row r="19" customFormat="false" ht="18" hidden="false" customHeight="true" outlineLevel="0" collapsed="false">
      <c r="A19" s="22"/>
      <c r="B19" s="23" t="s">
        <v>27</v>
      </c>
      <c r="C19" s="24"/>
      <c r="D19" s="24"/>
      <c r="E19" s="24"/>
      <c r="F19" s="25"/>
      <c r="G19" s="24"/>
      <c r="H19" s="26"/>
      <c r="K19" s="22"/>
      <c r="L19" s="27" t="s">
        <v>27</v>
      </c>
      <c r="M19" s="24"/>
      <c r="N19" s="24"/>
      <c r="O19" s="24"/>
      <c r="P19" s="24"/>
      <c r="Q19" s="24"/>
      <c r="R19" s="26"/>
      <c r="S19" s="2"/>
    </row>
    <row r="20" customFormat="false" ht="18" hidden="false" customHeight="true" outlineLevel="0" collapsed="false">
      <c r="A20" s="22"/>
      <c r="B20" s="23" t="s">
        <v>28</v>
      </c>
      <c r="C20" s="24"/>
      <c r="D20" s="24" t="n">
        <v>2</v>
      </c>
      <c r="E20" s="24" t="n">
        <v>2</v>
      </c>
      <c r="F20" s="25" t="n">
        <v>2</v>
      </c>
      <c r="G20" s="24"/>
      <c r="H20" s="26"/>
      <c r="K20" s="22"/>
      <c r="L20" s="27" t="s">
        <v>28</v>
      </c>
      <c r="M20" s="24"/>
      <c r="N20" s="24"/>
      <c r="O20" s="24"/>
      <c r="P20" s="24"/>
      <c r="Q20" s="24"/>
      <c r="R20" s="26"/>
      <c r="S20" s="2"/>
    </row>
    <row r="21" customFormat="false" ht="18" hidden="false" customHeight="true" outlineLevel="0" collapsed="false">
      <c r="A21" s="22"/>
      <c r="B21" s="23" t="s">
        <v>29</v>
      </c>
      <c r="C21" s="24"/>
      <c r="D21" s="24" t="n">
        <v>2</v>
      </c>
      <c r="E21" s="24" t="n">
        <v>2</v>
      </c>
      <c r="F21" s="25" t="n">
        <v>2</v>
      </c>
      <c r="G21" s="24"/>
      <c r="H21" s="26"/>
      <c r="K21" s="22"/>
      <c r="L21" s="27" t="s">
        <v>29</v>
      </c>
      <c r="M21" s="24"/>
      <c r="N21" s="24"/>
      <c r="O21" s="24"/>
      <c r="P21" s="24"/>
      <c r="Q21" s="24"/>
      <c r="R21" s="26"/>
      <c r="S21" s="2"/>
    </row>
    <row r="22" customFormat="false" ht="18" hidden="false" customHeight="true" outlineLevel="0" collapsed="false">
      <c r="A22" s="22"/>
      <c r="B22" s="23" t="s">
        <v>30</v>
      </c>
      <c r="C22" s="24"/>
      <c r="D22" s="24" t="n">
        <v>2</v>
      </c>
      <c r="E22" s="24" t="n">
        <v>2</v>
      </c>
      <c r="F22" s="25" t="n">
        <v>2</v>
      </c>
      <c r="G22" s="24"/>
      <c r="H22" s="26"/>
      <c r="K22" s="22"/>
      <c r="L22" s="27" t="s">
        <v>30</v>
      </c>
      <c r="M22" s="24"/>
      <c r="N22" s="24"/>
      <c r="O22" s="24"/>
      <c r="P22" s="24"/>
      <c r="Q22" s="24"/>
      <c r="R22" s="26"/>
      <c r="S22" s="2"/>
    </row>
    <row r="23" customFormat="false" ht="18" hidden="false" customHeight="true" outlineLevel="0" collapsed="false">
      <c r="A23" s="28" t="s">
        <v>31</v>
      </c>
      <c r="B23" s="29" t="s">
        <v>32</v>
      </c>
      <c r="C23" s="24"/>
      <c r="D23" s="24" t="n">
        <v>2</v>
      </c>
      <c r="E23" s="24" t="n">
        <v>2</v>
      </c>
      <c r="F23" s="25" t="n">
        <v>2</v>
      </c>
      <c r="G23" s="24"/>
      <c r="H23" s="26"/>
      <c r="K23" s="28" t="s">
        <v>31</v>
      </c>
      <c r="L23" s="30" t="s">
        <v>32</v>
      </c>
      <c r="M23" s="24"/>
      <c r="N23" s="24"/>
      <c r="O23" s="24"/>
      <c r="P23" s="24"/>
      <c r="Q23" s="24"/>
      <c r="R23" s="26"/>
      <c r="S23" s="2"/>
    </row>
    <row r="24" customFormat="false" ht="18" hidden="false" customHeight="true" outlineLevel="0" collapsed="false">
      <c r="A24" s="28"/>
      <c r="B24" s="29" t="s">
        <v>33</v>
      </c>
      <c r="C24" s="24"/>
      <c r="D24" s="24" t="n">
        <v>2</v>
      </c>
      <c r="E24" s="24" t="n">
        <v>2</v>
      </c>
      <c r="F24" s="25" t="n">
        <v>2</v>
      </c>
      <c r="G24" s="24"/>
      <c r="H24" s="26"/>
      <c r="K24" s="28"/>
      <c r="L24" s="31" t="s">
        <v>33</v>
      </c>
      <c r="M24" s="24"/>
      <c r="N24" s="24"/>
      <c r="O24" s="24"/>
      <c r="P24" s="24"/>
      <c r="Q24" s="24"/>
      <c r="R24" s="26"/>
      <c r="S24" s="2"/>
    </row>
    <row r="25" customFormat="false" ht="18" hidden="false" customHeight="true" outlineLevel="0" collapsed="false">
      <c r="A25" s="28"/>
      <c r="B25" s="32" t="s">
        <v>34</v>
      </c>
      <c r="C25" s="24"/>
      <c r="D25" s="24" t="n">
        <v>2</v>
      </c>
      <c r="E25" s="24" t="n">
        <v>2</v>
      </c>
      <c r="F25" s="25" t="n">
        <v>2</v>
      </c>
      <c r="G25" s="24"/>
      <c r="H25" s="26"/>
      <c r="K25" s="28"/>
      <c r="L25" s="31" t="s">
        <v>34</v>
      </c>
      <c r="M25" s="24"/>
      <c r="N25" s="24"/>
      <c r="O25" s="24"/>
      <c r="P25" s="24"/>
      <c r="Q25" s="24"/>
      <c r="R25" s="26"/>
      <c r="S25" s="2"/>
    </row>
    <row r="26" customFormat="false" ht="18" hidden="false" customHeight="true" outlineLevel="0" collapsed="false">
      <c r="A26" s="28"/>
      <c r="B26" s="32" t="s">
        <v>35</v>
      </c>
      <c r="C26" s="24"/>
      <c r="D26" s="24" t="n">
        <v>2</v>
      </c>
      <c r="E26" s="24" t="n">
        <v>2</v>
      </c>
      <c r="F26" s="25" t="n">
        <v>2</v>
      </c>
      <c r="G26" s="24"/>
      <c r="H26" s="26"/>
      <c r="K26" s="28"/>
      <c r="L26" s="31" t="s">
        <v>35</v>
      </c>
      <c r="M26" s="24"/>
      <c r="N26" s="24"/>
      <c r="O26" s="24"/>
      <c r="P26" s="24"/>
      <c r="Q26" s="24"/>
      <c r="R26" s="26"/>
      <c r="S26" s="2"/>
    </row>
    <row r="27" customFormat="false" ht="18" hidden="false" customHeight="true" outlineLevel="0" collapsed="false">
      <c r="A27" s="28"/>
      <c r="B27" s="32" t="s">
        <v>36</v>
      </c>
      <c r="C27" s="24"/>
      <c r="D27" s="24" t="n">
        <v>2</v>
      </c>
      <c r="E27" s="24" t="n">
        <v>2</v>
      </c>
      <c r="F27" s="25" t="n">
        <v>2</v>
      </c>
      <c r="G27" s="24"/>
      <c r="H27" s="26"/>
      <c r="K27" s="28"/>
      <c r="L27" s="31" t="s">
        <v>36</v>
      </c>
      <c r="M27" s="24"/>
      <c r="N27" s="24"/>
      <c r="O27" s="24"/>
      <c r="P27" s="24"/>
      <c r="Q27" s="24"/>
      <c r="R27" s="26"/>
      <c r="S27" s="2"/>
    </row>
    <row r="28" customFormat="false" ht="18" hidden="false" customHeight="true" outlineLevel="0" collapsed="false">
      <c r="A28" s="28"/>
      <c r="B28" s="32" t="s">
        <v>37</v>
      </c>
      <c r="C28" s="24"/>
      <c r="D28" s="24" t="n">
        <v>2</v>
      </c>
      <c r="E28" s="24" t="n">
        <v>2</v>
      </c>
      <c r="F28" s="25" t="n">
        <v>2</v>
      </c>
      <c r="G28" s="24"/>
      <c r="H28" s="26"/>
      <c r="K28" s="28"/>
      <c r="L28" s="31" t="s">
        <v>37</v>
      </c>
      <c r="M28" s="24"/>
      <c r="N28" s="24"/>
      <c r="O28" s="24"/>
      <c r="P28" s="24"/>
      <c r="Q28" s="24"/>
      <c r="R28" s="26"/>
      <c r="S28" s="2"/>
    </row>
    <row r="29" customFormat="false" ht="18" hidden="false" customHeight="true" outlineLevel="0" collapsed="false">
      <c r="A29" s="28"/>
      <c r="B29" s="32" t="s">
        <v>38</v>
      </c>
      <c r="C29" s="24"/>
      <c r="D29" s="24"/>
      <c r="E29" s="24"/>
      <c r="F29" s="25"/>
      <c r="G29" s="24"/>
      <c r="H29" s="26"/>
      <c r="K29" s="28"/>
      <c r="L29" s="31" t="s">
        <v>38</v>
      </c>
      <c r="M29" s="24"/>
      <c r="N29" s="24"/>
      <c r="O29" s="24"/>
      <c r="P29" s="24"/>
      <c r="Q29" s="24"/>
      <c r="R29" s="26"/>
      <c r="S29" s="2"/>
    </row>
    <row r="30" customFormat="false" ht="18" hidden="false" customHeight="true" outlineLevel="0" collapsed="false">
      <c r="S30" s="2"/>
    </row>
    <row r="31" customFormat="false" ht="15" hidden="false" customHeight="false" outlineLevel="0" collapsed="false">
      <c r="A31" s="2"/>
      <c r="B31" s="33" t="s">
        <v>39</v>
      </c>
      <c r="C31" s="33"/>
      <c r="D31" s="33"/>
      <c r="E31" s="33"/>
      <c r="F31" s="33"/>
      <c r="G31" s="33"/>
      <c r="H31" s="33"/>
      <c r="K31" s="2"/>
      <c r="L31" s="2"/>
      <c r="M31" s="34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2"/>
      <c r="B32" s="33" t="s">
        <v>40</v>
      </c>
      <c r="C32" s="33"/>
      <c r="D32" s="33"/>
      <c r="E32" s="33"/>
      <c r="F32" s="33"/>
      <c r="G32" s="33"/>
      <c r="H32" s="33"/>
      <c r="K32" s="2"/>
      <c r="L32" s="2"/>
      <c r="M32" s="34"/>
      <c r="N32" s="2"/>
      <c r="O32" s="2"/>
      <c r="P32" s="2"/>
      <c r="Q32" s="2"/>
      <c r="R32" s="2"/>
      <c r="S32" s="2"/>
    </row>
    <row r="33" customFormat="false" ht="15.75" hidden="false" customHeight="false" outlineLevel="0" collapsed="false">
      <c r="A33" s="2"/>
      <c r="B33" s="33" t="s">
        <v>41</v>
      </c>
      <c r="C33" s="33"/>
      <c r="D33" s="33"/>
      <c r="E33" s="33"/>
      <c r="F33" s="33"/>
      <c r="G33" s="33"/>
      <c r="H33" s="33"/>
      <c r="K33" s="2"/>
      <c r="L33" s="35" t="s">
        <v>42</v>
      </c>
      <c r="M33" s="35"/>
      <c r="N33" s="35"/>
      <c r="O33" s="35"/>
      <c r="P33" s="35"/>
      <c r="Q33" s="35"/>
      <c r="R33" s="35"/>
      <c r="S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30" hidden="false" customHeight="true" outlineLevel="0" collapsed="false">
      <c r="A35" s="1"/>
      <c r="B35" s="36" t="s">
        <v>43</v>
      </c>
      <c r="C35" s="36"/>
      <c r="D35" s="36"/>
      <c r="E35" s="36"/>
      <c r="F35" s="37" t="s">
        <v>44</v>
      </c>
      <c r="G35" s="37" t="s">
        <v>45</v>
      </c>
      <c r="H35" s="38" t="s">
        <v>46</v>
      </c>
      <c r="I35" s="38"/>
      <c r="K35" s="1"/>
      <c r="L35" s="39" t="s">
        <v>47</v>
      </c>
      <c r="M35" s="40" t="s">
        <v>48</v>
      </c>
      <c r="N35" s="40"/>
      <c r="O35" s="40"/>
      <c r="P35" s="39" t="s">
        <v>49</v>
      </c>
      <c r="Q35" s="41" t="s">
        <v>50</v>
      </c>
      <c r="R35" s="41" t="s">
        <v>51</v>
      </c>
      <c r="S35" s="1"/>
    </row>
    <row r="36" customFormat="false" ht="21" hidden="false" customHeight="true" outlineLevel="0" collapsed="false">
      <c r="A36" s="42" t="str">
        <f aca="false">IFERROR(VLOOKUP(B36,Materias_Dispo_26_2!$C$3:$I$267,6,FALSE()),"")</f>
        <v>INT1044</v>
      </c>
      <c r="B36" s="43" t="s">
        <v>52</v>
      </c>
      <c r="C36" s="43"/>
      <c r="D36" s="43"/>
      <c r="E36" s="43"/>
      <c r="F36" s="44" t="n">
        <v>15</v>
      </c>
      <c r="G36" s="44" t="s">
        <v>53</v>
      </c>
      <c r="H36" s="45" t="s">
        <v>54</v>
      </c>
      <c r="I36" s="45"/>
      <c r="K36" s="1" t="str">
        <f aca="false">IF(L36&lt;&gt;"",K35+1,"")</f>
        <v/>
      </c>
      <c r="L36" s="46" t="str">
        <f aca="false">IFERROR(VLOOKUP(M36,Materias_Dispo_26_2!$C$3:$I$267,6,FALSE()),"")</f>
        <v/>
      </c>
      <c r="M36" s="47"/>
      <c r="N36" s="47"/>
      <c r="O36" s="47"/>
      <c r="P36" s="48" t="str">
        <f aca="false">IFERROR(VLOOKUP(M36,Materias_Dispo_26_2!C3:I267,7,FALSE()),"")</f>
        <v/>
      </c>
      <c r="Q36" s="44" t="str">
        <f aca="false">IF(L36="","",COUNTIF($M$15:$R$29,L36))</f>
        <v/>
      </c>
      <c r="R36" s="49" t="str">
        <f aca="false">IFERROR(P36-Q36,"")</f>
        <v/>
      </c>
      <c r="S36" s="1"/>
    </row>
    <row r="37" customFormat="false" ht="21" hidden="false" customHeight="true" outlineLevel="0" collapsed="false">
      <c r="A37" s="42" t="str">
        <f aca="false">IFERROR(VLOOKUP(B37,Materias_Dispo_26_2!$C$3:$I$267,6,FALSE()),"")</f>
        <v>INT0939</v>
      </c>
      <c r="B37" s="50" t="s">
        <v>55</v>
      </c>
      <c r="C37" s="50"/>
      <c r="D37" s="50"/>
      <c r="E37" s="50"/>
      <c r="F37" s="51" t="n">
        <v>15</v>
      </c>
      <c r="G37" s="51" t="s">
        <v>53</v>
      </c>
      <c r="H37" s="45" t="s">
        <v>54</v>
      </c>
      <c r="I37" s="45"/>
      <c r="K37" s="1" t="str">
        <f aca="false">IF(L37&lt;&gt;"",K36+1,"")</f>
        <v/>
      </c>
      <c r="L37" s="52" t="str">
        <f aca="false">IFERROR(VLOOKUP(M37,Materias_Dispo_26_2!$C$3:$I$267,6,FALSE()),"")</f>
        <v/>
      </c>
      <c r="M37" s="53"/>
      <c r="N37" s="53"/>
      <c r="O37" s="53"/>
      <c r="P37" s="54" t="str">
        <f aca="false">IFERROR(VLOOKUP(M37,Materias_Dispo_26_2!C4:I268,7,FALSE()),"")</f>
        <v/>
      </c>
      <c r="Q37" s="51" t="str">
        <f aca="false">IF(L37="","",COUNTIF($M$15:$R$29,L37))</f>
        <v/>
      </c>
      <c r="R37" s="49" t="str">
        <f aca="false">IFERROR(P37-Q37,"")</f>
        <v/>
      </c>
      <c r="S37" s="1"/>
    </row>
    <row r="38" customFormat="false" ht="21" hidden="false" customHeight="true" outlineLevel="0" collapsed="false">
      <c r="A38" s="42" t="str">
        <f aca="false">IFERROR(VLOOKUP(B38,Materias_Dispo_26_2!$C$3:$I$267,6,FALSE()),"")</f>
        <v/>
      </c>
      <c r="B38" s="43"/>
      <c r="C38" s="43"/>
      <c r="D38" s="43"/>
      <c r="E38" s="43"/>
      <c r="F38" s="44"/>
      <c r="G38" s="44"/>
      <c r="H38" s="45"/>
      <c r="I38" s="45"/>
      <c r="K38" s="1" t="str">
        <f aca="false">IF(L38&lt;&gt;"",K37+1,"")</f>
        <v/>
      </c>
      <c r="L38" s="46" t="str">
        <f aca="false">IFERROR(VLOOKUP(M38,Materias_Dispo_26_2!$C$3:$I$267,6,FALSE()),"")</f>
        <v/>
      </c>
      <c r="M38" s="47"/>
      <c r="N38" s="47"/>
      <c r="O38" s="47"/>
      <c r="P38" s="48" t="str">
        <f aca="false">IFERROR(VLOOKUP(M38,Materias_Dispo_26_2!C5:I269,7,FALSE()),"")</f>
        <v/>
      </c>
      <c r="Q38" s="44" t="str">
        <f aca="false">IF(L38="","",COUNTIF($M$15:$R$29,L38))</f>
        <v/>
      </c>
      <c r="R38" s="49" t="str">
        <f aca="false">IFERROR(P38-Q38,"")</f>
        <v/>
      </c>
      <c r="S38" s="1"/>
    </row>
    <row r="39" customFormat="false" ht="21" hidden="false" customHeight="true" outlineLevel="0" collapsed="false">
      <c r="A39" s="42" t="str">
        <f aca="false">IFERROR(VLOOKUP(B39,Materias_Dispo_26_2!$C$3:$I$267,6,FALSE()),"")</f>
        <v/>
      </c>
      <c r="B39" s="50"/>
      <c r="C39" s="50"/>
      <c r="D39" s="50"/>
      <c r="E39" s="50"/>
      <c r="F39" s="51"/>
      <c r="G39" s="51"/>
      <c r="H39" s="55"/>
      <c r="I39" s="55"/>
      <c r="K39" s="1" t="str">
        <f aca="false">IF(L39&lt;&gt;"",K38+1,"")</f>
        <v/>
      </c>
      <c r="L39" s="52" t="str">
        <f aca="false">IFERROR(VLOOKUP(M39,Materias_Dispo_26_2!$C$3:$I$267,6,FALSE()),"")</f>
        <v/>
      </c>
      <c r="M39" s="53"/>
      <c r="N39" s="53"/>
      <c r="O39" s="53"/>
      <c r="P39" s="54" t="str">
        <f aca="false">IFERROR(VLOOKUP(M39,Materias_Dispo_26_2!C6:I270,7,FALSE()),"")</f>
        <v/>
      </c>
      <c r="Q39" s="51" t="str">
        <f aca="false">IF(L39="","",COUNTIF($M$15:$R$29,L39))</f>
        <v/>
      </c>
      <c r="R39" s="56" t="str">
        <f aca="false">IFERROR(P39-Q39,"")</f>
        <v/>
      </c>
      <c r="S39" s="1"/>
    </row>
    <row r="40" customFormat="false" ht="21" hidden="false" customHeight="true" outlineLevel="0" collapsed="false">
      <c r="A40" s="42" t="str">
        <f aca="false">IFERROR(VLOOKUP(B40,Materias_Dispo_26_2!$C$3:$I$267,6,FALSE()),"")</f>
        <v/>
      </c>
      <c r="B40" s="43"/>
      <c r="C40" s="43"/>
      <c r="D40" s="43"/>
      <c r="E40" s="43"/>
      <c r="F40" s="44"/>
      <c r="G40" s="44"/>
      <c r="H40" s="45"/>
      <c r="I40" s="45"/>
      <c r="K40" s="1" t="str">
        <f aca="false">IF(L40&lt;&gt;"",K39+1,"")</f>
        <v/>
      </c>
      <c r="L40" s="46" t="str">
        <f aca="false">IFERROR(VLOOKUP(M40,Materias_Dispo_26_2!$C$3:$I$267,6,FALSE()),"")</f>
        <v/>
      </c>
      <c r="M40" s="47"/>
      <c r="N40" s="47"/>
      <c r="O40" s="47"/>
      <c r="P40" s="48" t="str">
        <f aca="false">IFERROR(VLOOKUP(M40,Materias_Dispo_26_2!C7:I271,7,FALSE()),"")</f>
        <v/>
      </c>
      <c r="Q40" s="44" t="str">
        <f aca="false">IF(L40="","",COUNTIF($M$15:$R$29,L40))</f>
        <v/>
      </c>
      <c r="R40" s="49" t="str">
        <f aca="false">IFERROR(P40-Q40,"")</f>
        <v/>
      </c>
      <c r="S40" s="1"/>
    </row>
    <row r="41" customFormat="false" ht="21" hidden="false" customHeight="true" outlineLevel="0" collapsed="false">
      <c r="A41" s="42" t="str">
        <f aca="false">IFERROR(VLOOKUP(B41,Materias_Dispo_26_2!$C$3:$I$267,6,FALSE()),"")</f>
        <v/>
      </c>
      <c r="B41" s="50"/>
      <c r="C41" s="50"/>
      <c r="D41" s="50"/>
      <c r="E41" s="50"/>
      <c r="F41" s="51"/>
      <c r="G41" s="51"/>
      <c r="H41" s="55"/>
      <c r="I41" s="55"/>
      <c r="K41" s="1" t="str">
        <f aca="false">IF(L41&lt;&gt;"",K40+1,"")</f>
        <v/>
      </c>
      <c r="L41" s="52" t="str">
        <f aca="false">IFERROR(VLOOKUP(M41,Materias_Dispo_26_2!$C$3:$I$267,6,FALSE()),"")</f>
        <v/>
      </c>
      <c r="M41" s="53"/>
      <c r="N41" s="53"/>
      <c r="O41" s="53"/>
      <c r="P41" s="54" t="str">
        <f aca="false">IFERROR(VLOOKUP(M41,Materias_Dispo_26_2!C8:I272,7,FALSE()),"")</f>
        <v/>
      </c>
      <c r="Q41" s="51" t="str">
        <f aca="false">IF(L41="","",COUNTIF($M$15:$R$29,L41))</f>
        <v/>
      </c>
      <c r="R41" s="56" t="str">
        <f aca="false">IFERROR(P41-Q41,"")</f>
        <v/>
      </c>
      <c r="S41" s="1"/>
    </row>
    <row r="42" customFormat="false" ht="21" hidden="false" customHeight="true" outlineLevel="0" collapsed="false">
      <c r="A42" s="42" t="str">
        <f aca="false">IFERROR(VLOOKUP(B42,Materias_Dispo_26_2!$C$3:$I$267,6,FALSE()),"")</f>
        <v/>
      </c>
      <c r="B42" s="43"/>
      <c r="C42" s="43"/>
      <c r="D42" s="43"/>
      <c r="E42" s="43"/>
      <c r="F42" s="44"/>
      <c r="G42" s="44"/>
      <c r="H42" s="45"/>
      <c r="I42" s="45"/>
      <c r="K42" s="1" t="str">
        <f aca="false">IF(L42&lt;&gt;"",K41+1,"")</f>
        <v/>
      </c>
      <c r="L42" s="46" t="str">
        <f aca="false">IFERROR(VLOOKUP(M42,Materias_Dispo_26_2!$C$3:$I$267,6,FALSE()),"")</f>
        <v/>
      </c>
      <c r="M42" s="47"/>
      <c r="N42" s="47"/>
      <c r="O42" s="47"/>
      <c r="P42" s="48" t="str">
        <f aca="false">IFERROR(VLOOKUP(M42,Materias_Dispo_26_2!C9:I273,7,FALSE()),"")</f>
        <v/>
      </c>
      <c r="Q42" s="44" t="str">
        <f aca="false">IF(L42="","",COUNTIF($M$15:$R$29,L42))</f>
        <v/>
      </c>
      <c r="R42" s="49" t="str">
        <f aca="false">IFERROR(P42-Q42,"")</f>
        <v/>
      </c>
      <c r="S42" s="1"/>
    </row>
    <row r="43" customFormat="false" ht="21" hidden="false" customHeight="true" outlineLevel="0" collapsed="false">
      <c r="A43" s="42" t="str">
        <f aca="false">IFERROR(VLOOKUP(B43,Materias_Dispo_26_2!$C$3:$I$267,6,FALSE()),"")</f>
        <v/>
      </c>
      <c r="B43" s="50"/>
      <c r="C43" s="50"/>
      <c r="D43" s="50"/>
      <c r="E43" s="50"/>
      <c r="F43" s="51"/>
      <c r="G43" s="51"/>
      <c r="H43" s="55"/>
      <c r="I43" s="55"/>
      <c r="K43" s="1" t="str">
        <f aca="false">IF(L43&lt;&gt;"",K42+1,"")</f>
        <v/>
      </c>
      <c r="L43" s="52" t="str">
        <f aca="false">IFERROR(VLOOKUP(M43,Materias_Dispo_26_2!$C$3:$I$267,6,FALSE()),"")</f>
        <v/>
      </c>
      <c r="M43" s="53"/>
      <c r="N43" s="53"/>
      <c r="O43" s="53"/>
      <c r="P43" s="54" t="str">
        <f aca="false">IFERROR(VLOOKUP(M43,Materias_Dispo_26_2!C10:I274,7,FALSE()),"")</f>
        <v/>
      </c>
      <c r="Q43" s="51" t="str">
        <f aca="false">IF(L43="","",COUNTIF($M$15:$R$29,L43))</f>
        <v/>
      </c>
      <c r="R43" s="57" t="str">
        <f aca="false">IFERROR(P43-Q43,"")</f>
        <v/>
      </c>
      <c r="S43" s="1"/>
    </row>
    <row r="44" customFormat="false" ht="21" hidden="false" customHeight="true" outlineLevel="0" collapsed="false">
      <c r="A44" s="42" t="str">
        <f aca="false">IFERROR(VLOOKUP(B44,Materias_Dispo_26_2!$C$3:$I$267,6,FALSE()),"")</f>
        <v/>
      </c>
      <c r="B44" s="43"/>
      <c r="C44" s="43"/>
      <c r="D44" s="43"/>
      <c r="E44" s="43"/>
      <c r="F44" s="44"/>
      <c r="G44" s="44"/>
      <c r="H44" s="45"/>
      <c r="I44" s="45"/>
      <c r="K44" s="1" t="str">
        <f aca="false">IF(L44&lt;&gt;"",K43+1,"")</f>
        <v/>
      </c>
      <c r="L44" s="46" t="str">
        <f aca="false">IFERROR(VLOOKUP(M44,Materias_Dispo_26_2!$C$3:$I$267,6,FALSE()),"")</f>
        <v/>
      </c>
      <c r="M44" s="47"/>
      <c r="N44" s="47"/>
      <c r="O44" s="47"/>
      <c r="P44" s="48" t="str">
        <f aca="false">IFERROR(VLOOKUP(M44,Materias_Dispo_26_2!C11:I275,7,FALSE()),"")</f>
        <v/>
      </c>
      <c r="Q44" s="44" t="str">
        <f aca="false">IF(L44="","",COUNTIF($M$15:$R$29,L44))</f>
        <v/>
      </c>
      <c r="R44" s="58" t="str">
        <f aca="false">IFERROR(P44-Q44,"")</f>
        <v/>
      </c>
      <c r="S44" s="1"/>
    </row>
    <row r="45" customFormat="false" ht="21" hidden="false" customHeight="true" outlineLevel="0" collapsed="false">
      <c r="A45" s="42" t="str">
        <f aca="false">IFERROR(VLOOKUP(B45,Materias_Dispo_26_2!$C$3:$I$267,6,FALSE()),"")</f>
        <v/>
      </c>
      <c r="B45" s="50"/>
      <c r="C45" s="50"/>
      <c r="D45" s="50"/>
      <c r="E45" s="50"/>
      <c r="F45" s="51"/>
      <c r="G45" s="51"/>
      <c r="H45" s="55"/>
      <c r="I45" s="55"/>
      <c r="K45" s="1" t="str">
        <f aca="false">IF(L45&lt;&gt;"",K44+1,"")</f>
        <v/>
      </c>
      <c r="L45" s="52" t="str">
        <f aca="false">IFERROR(VLOOKUP(M45,Materias_Dispo_26_2!$C$3:$I$267,6,FALSE()),"")</f>
        <v/>
      </c>
      <c r="M45" s="53"/>
      <c r="N45" s="53"/>
      <c r="O45" s="53"/>
      <c r="P45" s="54" t="str">
        <f aca="false">IFERROR(VLOOKUP(M45,Materias_Dispo_26_2!C12:I276,7,FALSE()),"")</f>
        <v/>
      </c>
      <c r="Q45" s="51" t="str">
        <f aca="false">IF(L45="","",COUNTIF($M$15:$R$29,L45))</f>
        <v/>
      </c>
      <c r="R45" s="56" t="str">
        <f aca="false">IFERROR(P45-Q45,"")</f>
        <v/>
      </c>
      <c r="S45" s="1"/>
    </row>
    <row r="46" customFormat="false" ht="21" hidden="false" customHeight="true" outlineLevel="0" collapsed="false">
      <c r="A46" s="42" t="str">
        <f aca="false">IFERROR(VLOOKUP(B46,Materias_Dispo_26_2!$C$3:$I$267,6,FALSE()),"")</f>
        <v/>
      </c>
      <c r="B46" s="43"/>
      <c r="C46" s="43"/>
      <c r="D46" s="43"/>
      <c r="E46" s="43"/>
      <c r="F46" s="44"/>
      <c r="G46" s="44"/>
      <c r="H46" s="45"/>
      <c r="I46" s="45"/>
      <c r="K46" s="1" t="str">
        <f aca="false">IF(L46&lt;&gt;"",K45+1,"")</f>
        <v/>
      </c>
      <c r="L46" s="46" t="str">
        <f aca="false">IFERROR(VLOOKUP(M46,Materias_Dispo_26_2!$C$3:$I$267,6,FALSE()),"")</f>
        <v/>
      </c>
      <c r="M46" s="47"/>
      <c r="N46" s="47"/>
      <c r="O46" s="47"/>
      <c r="P46" s="48" t="str">
        <f aca="false">IFERROR(VLOOKUP(M46,Materias_Dispo_26_2!C13:I277,7,FALSE()),"")</f>
        <v/>
      </c>
      <c r="Q46" s="44" t="str">
        <f aca="false">IF(L46="","",COUNTIF($M$15:$R$29,L46))</f>
        <v/>
      </c>
      <c r="R46" s="58" t="str">
        <f aca="false">IFERROR(P46-Q46,"")</f>
        <v/>
      </c>
      <c r="S46" s="1"/>
    </row>
    <row r="47" customFormat="false" ht="21" hidden="false" customHeight="true" outlineLevel="0" collapsed="false">
      <c r="A47" s="42" t="str">
        <f aca="false">IFERROR(VLOOKUP(B47,Materias_Dispo_26_2!$C$3:$I$267,6,FALSE()),"")</f>
        <v/>
      </c>
      <c r="B47" s="50"/>
      <c r="C47" s="50"/>
      <c r="D47" s="50"/>
      <c r="E47" s="50"/>
      <c r="F47" s="51"/>
      <c r="G47" s="51"/>
      <c r="H47" s="55"/>
      <c r="I47" s="55"/>
      <c r="K47" s="1" t="str">
        <f aca="false">IF(L47&lt;&gt;"",K46+1,"")</f>
        <v/>
      </c>
      <c r="L47" s="52" t="str">
        <f aca="false">IFERROR(VLOOKUP(M47,Materias_Dispo_26_2!$C$3:$I$267,6,FALSE()),"")</f>
        <v/>
      </c>
      <c r="M47" s="53"/>
      <c r="N47" s="53"/>
      <c r="O47" s="53"/>
      <c r="P47" s="54" t="str">
        <f aca="false">IFERROR(VLOOKUP(M47,Materias_Dispo_26_2!C14:I278,7,FALSE()),"")</f>
        <v/>
      </c>
      <c r="Q47" s="51" t="str">
        <f aca="false">IF(L47="","",COUNTIF($M$15:$R$29,L47))</f>
        <v/>
      </c>
      <c r="R47" s="56" t="str">
        <f aca="false">IFERROR(P47-Q47,"")</f>
        <v/>
      </c>
      <c r="S47" s="1"/>
    </row>
    <row r="48" customFormat="false" ht="21" hidden="false" customHeight="true" outlineLevel="0" collapsed="false">
      <c r="A48" s="42" t="str">
        <f aca="false">IFERROR(VLOOKUP(B48,Materias_Dispo_26_2!$C$3:$I$267,6,FALSE()),"")</f>
        <v/>
      </c>
      <c r="B48" s="43"/>
      <c r="C48" s="43"/>
      <c r="D48" s="43"/>
      <c r="E48" s="43"/>
      <c r="F48" s="44"/>
      <c r="G48" s="44"/>
      <c r="H48" s="45"/>
      <c r="I48" s="45"/>
      <c r="K48" s="1" t="str">
        <f aca="false">IF(L48&lt;&gt;"",K47+1,"")</f>
        <v/>
      </c>
      <c r="L48" s="46" t="str">
        <f aca="false">IFERROR(VLOOKUP(M48,Materias_Dispo_26_2!$C$3:$I$267,6,FALSE()),"")</f>
        <v/>
      </c>
      <c r="M48" s="47"/>
      <c r="N48" s="47"/>
      <c r="O48" s="47"/>
      <c r="P48" s="48" t="str">
        <f aca="false">IFERROR(VLOOKUP(M48,Materias_Dispo_26_2!C15:I279,7,FALSE()),"")</f>
        <v/>
      </c>
      <c r="Q48" s="44" t="str">
        <f aca="false">IF(L48="","",COUNTIF($M$15:$R$29,L48))</f>
        <v/>
      </c>
      <c r="R48" s="58" t="str">
        <f aca="false">IFERROR(P48-Q48,"")</f>
        <v/>
      </c>
      <c r="S48" s="1"/>
    </row>
    <row r="49" customFormat="false" ht="21" hidden="false" customHeight="true" outlineLevel="0" collapsed="false">
      <c r="A49" s="42" t="str">
        <f aca="false">IFERROR(VLOOKUP(B49,Materias_Dispo_26_2!$C$3:$I$267,6,FALSE()),"")</f>
        <v/>
      </c>
      <c r="B49" s="50"/>
      <c r="C49" s="50"/>
      <c r="D49" s="50"/>
      <c r="E49" s="50"/>
      <c r="F49" s="51"/>
      <c r="G49" s="51"/>
      <c r="H49" s="55"/>
      <c r="I49" s="55"/>
      <c r="K49" s="1" t="str">
        <f aca="false">IF(L49&lt;&gt;"",K48+1,"")</f>
        <v/>
      </c>
      <c r="L49" s="52" t="str">
        <f aca="false">IFERROR(VLOOKUP(M49,Materias_Dispo_26_2!$C$3:$I$267,6,FALSE()),"")</f>
        <v/>
      </c>
      <c r="M49" s="53"/>
      <c r="N49" s="53"/>
      <c r="O49" s="53"/>
      <c r="P49" s="54" t="str">
        <f aca="false">IFERROR(VLOOKUP(M49,Materias_Dispo_26_2!C16:I280,7,FALSE()),"")</f>
        <v/>
      </c>
      <c r="Q49" s="51" t="str">
        <f aca="false">IF(L49="","",COUNTIF($M$15:$R$29,L49))</f>
        <v/>
      </c>
      <c r="R49" s="57" t="str">
        <f aca="false">IFERROR(P49-Q49,"")</f>
        <v/>
      </c>
      <c r="S49" s="1"/>
    </row>
    <row r="50" customFormat="false" ht="21" hidden="false" customHeight="true" outlineLevel="0" collapsed="false">
      <c r="A50" s="42" t="str">
        <f aca="false">IFERROR(VLOOKUP(B50,Materias_Dispo_26_2!$C$3:$I$267,6,FALSE()),"")</f>
        <v/>
      </c>
      <c r="B50" s="43"/>
      <c r="C50" s="43"/>
      <c r="D50" s="43"/>
      <c r="E50" s="43"/>
      <c r="F50" s="44"/>
      <c r="G50" s="44"/>
      <c r="H50" s="45"/>
      <c r="I50" s="45"/>
      <c r="K50" s="1" t="str">
        <f aca="false">IF(L50&lt;&gt;"",K49+1,"")</f>
        <v/>
      </c>
      <c r="L50" s="46" t="str">
        <f aca="false">IFERROR(VLOOKUP(M50,Materias_Dispo_26_2!$C$3:$I$267,6,FALSE()),"")</f>
        <v/>
      </c>
      <c r="M50" s="47"/>
      <c r="N50" s="47"/>
      <c r="O50" s="47"/>
      <c r="P50" s="48" t="str">
        <f aca="false">IFERROR(VLOOKUP(M50,Materias_Dispo_26_2!C17:I281,7,FALSE()),"")</f>
        <v/>
      </c>
      <c r="Q50" s="44" t="str">
        <f aca="false">IF(L50="","",COUNTIF($M$15:$R$29,L50))</f>
        <v/>
      </c>
      <c r="R50" s="58" t="str">
        <f aca="false">IFERROR(P50-Q50,"")</f>
        <v/>
      </c>
      <c r="S50" s="1"/>
    </row>
    <row r="51" customFormat="false" ht="24.75" hidden="false" customHeight="true" outlineLevel="0" collapsed="false">
      <c r="A51" s="1"/>
      <c r="B51" s="59" t="s">
        <v>56</v>
      </c>
      <c r="C51" s="1"/>
      <c r="D51" s="1"/>
      <c r="E51" s="1"/>
      <c r="F51" s="1"/>
      <c r="G51" s="1"/>
      <c r="H51" s="1"/>
      <c r="K51" s="1"/>
      <c r="L51" s="60"/>
      <c r="M51" s="61" t="s">
        <v>57</v>
      </c>
      <c r="N51" s="61"/>
      <c r="O51" s="61"/>
      <c r="P51" s="62" t="n">
        <f aca="false">SUM(P36:P50)</f>
        <v>0</v>
      </c>
      <c r="Q51" s="63" t="n">
        <f aca="false">SUM(Q36:Q50)</f>
        <v>0</v>
      </c>
      <c r="R51" s="1"/>
      <c r="S51" s="1"/>
    </row>
    <row r="52" customFormat="false" ht="15" hidden="false" customHeight="false" outlineLevel="0" collapsed="false">
      <c r="A52" s="1"/>
      <c r="B52" s="2"/>
      <c r="D52" s="1"/>
      <c r="E52" s="1"/>
      <c r="F52" s="1"/>
      <c r="G52" s="1"/>
      <c r="H52" s="1"/>
      <c r="K52" s="1"/>
      <c r="L52" s="1"/>
      <c r="M52" s="2"/>
      <c r="N52" s="1"/>
      <c r="O52" s="1"/>
      <c r="P52" s="1"/>
      <c r="Q52" s="1"/>
      <c r="R52" s="1"/>
      <c r="S52" s="1"/>
    </row>
    <row r="53" customFormat="false" ht="25.5" hidden="false" customHeight="true" outlineLevel="0" collapsed="false">
      <c r="B53" s="64" t="s">
        <v>58</v>
      </c>
      <c r="C53" s="64"/>
      <c r="D53" s="64"/>
      <c r="E53" s="64"/>
      <c r="F53" s="64"/>
      <c r="G53" s="64"/>
      <c r="H53" s="64"/>
      <c r="I53" s="64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B54" s="65"/>
      <c r="C54" s="65"/>
      <c r="D54" s="65"/>
      <c r="E54" s="65"/>
      <c r="F54" s="65"/>
      <c r="G54" s="65"/>
      <c r="H54" s="65"/>
      <c r="I54" s="65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5" hidden="false" customHeight="false" outlineLevel="0" collapsed="false">
      <c r="B55" s="66" t="s">
        <v>59</v>
      </c>
      <c r="C55" s="66"/>
      <c r="D55" s="67"/>
      <c r="E55" s="66" t="s">
        <v>60</v>
      </c>
      <c r="F55" s="66"/>
      <c r="G55" s="67"/>
      <c r="H55" s="66" t="s">
        <v>61</v>
      </c>
      <c r="I55" s="66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B56" s="68" t="s">
        <v>62</v>
      </c>
      <c r="C56" s="68"/>
      <c r="D56" s="67"/>
      <c r="E56" s="68" t="s">
        <v>63</v>
      </c>
      <c r="F56" s="68"/>
      <c r="G56" s="67"/>
      <c r="H56" s="68" t="s">
        <v>64</v>
      </c>
      <c r="I56" s="68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5" hidden="false" customHeight="false" outlineLevel="0" collapsed="false">
      <c r="B57" s="66" t="s">
        <v>65</v>
      </c>
      <c r="C57" s="66"/>
      <c r="D57" s="67"/>
      <c r="E57" s="66" t="s">
        <v>66</v>
      </c>
      <c r="F57" s="66"/>
      <c r="G57" s="67"/>
      <c r="H57" s="66" t="s">
        <v>67</v>
      </c>
      <c r="I57" s="66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B58" s="68" t="s">
        <v>68</v>
      </c>
      <c r="C58" s="68"/>
      <c r="D58" s="67"/>
      <c r="E58" s="68" t="s">
        <v>69</v>
      </c>
      <c r="F58" s="68"/>
      <c r="G58" s="67"/>
      <c r="H58" s="68" t="s">
        <v>70</v>
      </c>
      <c r="I58" s="68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B59" s="66" t="s">
        <v>71</v>
      </c>
      <c r="C59" s="66"/>
      <c r="D59" s="67"/>
      <c r="E59" s="66" t="s">
        <v>72</v>
      </c>
      <c r="F59" s="66"/>
      <c r="G59" s="67"/>
      <c r="H59" s="66" t="s">
        <v>73</v>
      </c>
      <c r="I59" s="66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5" hidden="false" customHeight="false" outlineLevel="0" collapsed="false">
      <c r="B60" s="68" t="s">
        <v>74</v>
      </c>
      <c r="C60" s="68"/>
      <c r="D60" s="67"/>
      <c r="E60" s="68" t="s">
        <v>75</v>
      </c>
      <c r="F60" s="68"/>
      <c r="G60" s="67"/>
      <c r="H60" s="68" t="s">
        <v>76</v>
      </c>
      <c r="I60" s="68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B61" s="66" t="s">
        <v>77</v>
      </c>
      <c r="C61" s="66"/>
      <c r="D61" s="67"/>
      <c r="E61" s="66" t="s">
        <v>78</v>
      </c>
      <c r="F61" s="66"/>
      <c r="G61" s="67"/>
      <c r="H61" s="66" t="s">
        <v>79</v>
      </c>
      <c r="I61" s="66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B62" s="68" t="s">
        <v>80</v>
      </c>
      <c r="C62" s="68"/>
      <c r="D62" s="67"/>
      <c r="E62" s="68" t="s">
        <v>81</v>
      </c>
      <c r="F62" s="68"/>
      <c r="G62" s="67"/>
      <c r="H62" s="68" t="s">
        <v>82</v>
      </c>
      <c r="I62" s="68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B63" s="66" t="s">
        <v>83</v>
      </c>
      <c r="C63" s="66"/>
      <c r="D63" s="67"/>
      <c r="E63" s="66" t="s">
        <v>84</v>
      </c>
      <c r="F63" s="66"/>
      <c r="G63" s="67"/>
      <c r="H63" s="66" t="s">
        <v>85</v>
      </c>
      <c r="I63" s="66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B64" s="68" t="s">
        <v>86</v>
      </c>
      <c r="C64" s="68"/>
      <c r="D64" s="67"/>
      <c r="E64" s="68" t="s">
        <v>87</v>
      </c>
      <c r="F64" s="68"/>
      <c r="G64" s="67"/>
      <c r="H64" s="68" t="s">
        <v>88</v>
      </c>
      <c r="I64" s="68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B65" s="66" t="s">
        <v>89</v>
      </c>
      <c r="C65" s="66"/>
      <c r="D65" s="67"/>
      <c r="E65" s="66" t="s">
        <v>90</v>
      </c>
      <c r="F65" s="66"/>
      <c r="G65" s="67"/>
      <c r="H65" s="66" t="s">
        <v>91</v>
      </c>
      <c r="I65" s="66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B66" s="68" t="s">
        <v>92</v>
      </c>
      <c r="C66" s="68"/>
      <c r="D66" s="67"/>
      <c r="E66" s="68" t="s">
        <v>93</v>
      </c>
      <c r="F66" s="68"/>
      <c r="G66" s="67"/>
      <c r="H66" s="68" t="s">
        <v>94</v>
      </c>
      <c r="I66" s="68"/>
    </row>
    <row r="67" customFormat="false" ht="15" hidden="false" customHeight="false" outlineLevel="0" collapsed="false">
      <c r="B67" s="66" t="s">
        <v>95</v>
      </c>
      <c r="C67" s="66"/>
      <c r="D67" s="67"/>
      <c r="E67" s="67"/>
      <c r="F67" s="67"/>
      <c r="G67" s="67"/>
      <c r="H67" s="67"/>
      <c r="I67" s="67"/>
    </row>
    <row r="68" customFormat="false" ht="15" hidden="false" customHeight="false" outlineLevel="0" collapsed="false">
      <c r="B68" s="69"/>
      <c r="C68" s="69"/>
      <c r="D68" s="69"/>
      <c r="E68" s="69"/>
      <c r="F68" s="69"/>
      <c r="G68" s="69"/>
      <c r="H68" s="69"/>
      <c r="I68" s="69"/>
    </row>
  </sheetData>
  <sheetProtection algorithmName="SHA-512" hashValue="IVDJg09TFzvqt13Dn5xGijULxI7Q+8C36am0LDIAD65tgLkOio7K4iQWO44nWmWTsDwV8ef5xE1s21kj0tSSFw==" saltValue="tk5szh2BppF8L1ARls1Q0g==" spinCount="100000" sheet="true" objects="true" scenarios="true"/>
  <mergeCells count="111">
    <mergeCell ref="B2:H2"/>
    <mergeCell ref="L2:R2"/>
    <mergeCell ref="C4:G4"/>
    <mergeCell ref="M4:Q4"/>
    <mergeCell ref="C5:G5"/>
    <mergeCell ref="M5:Q5"/>
    <mergeCell ref="C6:D6"/>
    <mergeCell ref="F6:G6"/>
    <mergeCell ref="M6:N6"/>
    <mergeCell ref="P6:Q6"/>
    <mergeCell ref="C7:G7"/>
    <mergeCell ref="M7:Q7"/>
    <mergeCell ref="B9:G9"/>
    <mergeCell ref="B10:G10"/>
    <mergeCell ref="B11:G11"/>
    <mergeCell ref="B12:G12"/>
    <mergeCell ref="A15:A22"/>
    <mergeCell ref="K15:K22"/>
    <mergeCell ref="A23:A29"/>
    <mergeCell ref="K23:K29"/>
    <mergeCell ref="B31:H31"/>
    <mergeCell ref="B32:H32"/>
    <mergeCell ref="B33:H33"/>
    <mergeCell ref="L33:R33"/>
    <mergeCell ref="B35:E35"/>
    <mergeCell ref="H35:I35"/>
    <mergeCell ref="M35:O35"/>
    <mergeCell ref="B36:E36"/>
    <mergeCell ref="H36:I36"/>
    <mergeCell ref="M36:O36"/>
    <mergeCell ref="B37:E37"/>
    <mergeCell ref="H37:I37"/>
    <mergeCell ref="M37:O37"/>
    <mergeCell ref="B38:E38"/>
    <mergeCell ref="H38:I38"/>
    <mergeCell ref="M38:O38"/>
    <mergeCell ref="B39:E39"/>
    <mergeCell ref="H39:I39"/>
    <mergeCell ref="M39:O39"/>
    <mergeCell ref="B40:E40"/>
    <mergeCell ref="H40:I40"/>
    <mergeCell ref="M40:O40"/>
    <mergeCell ref="B41:E41"/>
    <mergeCell ref="H41:I41"/>
    <mergeCell ref="M41:O41"/>
    <mergeCell ref="B42:E42"/>
    <mergeCell ref="H42:I42"/>
    <mergeCell ref="M42:O42"/>
    <mergeCell ref="B43:E43"/>
    <mergeCell ref="H43:I43"/>
    <mergeCell ref="M43:O43"/>
    <mergeCell ref="B44:E44"/>
    <mergeCell ref="H44:I44"/>
    <mergeCell ref="M44:O44"/>
    <mergeCell ref="B45:E45"/>
    <mergeCell ref="H45:I45"/>
    <mergeCell ref="M45:O45"/>
    <mergeCell ref="B46:E46"/>
    <mergeCell ref="H46:I46"/>
    <mergeCell ref="M46:O46"/>
    <mergeCell ref="B47:E47"/>
    <mergeCell ref="H47:I47"/>
    <mergeCell ref="M47:O47"/>
    <mergeCell ref="B48:E48"/>
    <mergeCell ref="H48:I48"/>
    <mergeCell ref="M48:O48"/>
    <mergeCell ref="B49:E49"/>
    <mergeCell ref="H49:I49"/>
    <mergeCell ref="M49:O49"/>
    <mergeCell ref="B50:E50"/>
    <mergeCell ref="H50:I50"/>
    <mergeCell ref="M50:O50"/>
    <mergeCell ref="M51:O51"/>
    <mergeCell ref="B53:I53"/>
    <mergeCell ref="B55:C55"/>
    <mergeCell ref="E55:F55"/>
    <mergeCell ref="H55:I55"/>
    <mergeCell ref="B56:C56"/>
    <mergeCell ref="E56:F56"/>
    <mergeCell ref="H56:I56"/>
    <mergeCell ref="B57:C57"/>
    <mergeCell ref="E57:F57"/>
    <mergeCell ref="H57:I57"/>
    <mergeCell ref="B58:C58"/>
    <mergeCell ref="E58:F58"/>
    <mergeCell ref="H58:I58"/>
    <mergeCell ref="B59:C59"/>
    <mergeCell ref="E59:F59"/>
    <mergeCell ref="H59:I59"/>
    <mergeCell ref="B60:C60"/>
    <mergeCell ref="E60:F60"/>
    <mergeCell ref="H60:I60"/>
    <mergeCell ref="B61:C61"/>
    <mergeCell ref="E61:F61"/>
    <mergeCell ref="H61:I61"/>
    <mergeCell ref="B62:C62"/>
    <mergeCell ref="E62:F62"/>
    <mergeCell ref="H62:I62"/>
    <mergeCell ref="B63:C63"/>
    <mergeCell ref="E63:F63"/>
    <mergeCell ref="H63:I63"/>
    <mergeCell ref="B64:C64"/>
    <mergeCell ref="E64:F64"/>
    <mergeCell ref="H64:I64"/>
    <mergeCell ref="B65:C65"/>
    <mergeCell ref="E65:F65"/>
    <mergeCell ref="H65:I65"/>
    <mergeCell ref="B66:C66"/>
    <mergeCell ref="E66:F66"/>
    <mergeCell ref="H66:I66"/>
    <mergeCell ref="B67:C67"/>
  </mergeCells>
  <conditionalFormatting sqref="C15:H29">
    <cfRule type="expression" priority="2" aboveAverage="0" equalAverage="0" bottom="0" percent="0" rank="0" text="" dxfId="0">
      <formula>LEN(TRIM(C15))=0</formula>
    </cfRule>
    <cfRule type="cellIs" priority="3" operator="equal" aboveAverage="0" equalAverage="0" bottom="0" percent="0" rank="0" text="" dxfId="1">
      <formula>"X"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2</formula>
    </cfRule>
  </conditionalFormatting>
  <conditionalFormatting sqref="M15:R29">
    <cfRule type="expression" priority="6" aboveAverage="0" equalAverage="0" bottom="0" percent="0" rank="0" text="" dxfId="4">
      <formula>LEN(TRIM(M15))=0</formula>
    </cfRule>
    <cfRule type="cellIs" priority="7" operator="equal" aboveAverage="0" equalAverage="0" bottom="0" percent="0" rank="0" text="" dxfId="5">
      <formula>$L$36</formula>
    </cfRule>
    <cfRule type="cellIs" priority="8" operator="equal" aboveAverage="0" equalAverage="0" bottom="0" percent="0" rank="0" text="" dxfId="6">
      <formula>$L$37</formula>
    </cfRule>
    <cfRule type="cellIs" priority="9" operator="equal" aboveAverage="0" equalAverage="0" bottom="0" percent="0" rank="0" text="" dxfId="7">
      <formula>$L$38</formula>
    </cfRule>
    <cfRule type="cellIs" priority="10" operator="equal" aboveAverage="0" equalAverage="0" bottom="0" percent="0" rank="0" text="" dxfId="8">
      <formula>$L$39</formula>
    </cfRule>
    <cfRule type="cellIs" priority="11" operator="equal" aboveAverage="0" equalAverage="0" bottom="0" percent="0" rank="0" text="" dxfId="9">
      <formula>$L$40</formula>
    </cfRule>
    <cfRule type="cellIs" priority="12" operator="equal" aboveAverage="0" equalAverage="0" bottom="0" percent="0" rank="0" text="" dxfId="10">
      <formula>$L$41</formula>
    </cfRule>
    <cfRule type="cellIs" priority="13" operator="equal" aboveAverage="0" equalAverage="0" bottom="0" percent="0" rank="0" text="" dxfId="11">
      <formula>$L$42</formula>
    </cfRule>
    <cfRule type="cellIs" priority="14" operator="equal" aboveAverage="0" equalAverage="0" bottom="0" percent="0" rank="0" text="" dxfId="12">
      <formula>$L$43</formula>
    </cfRule>
    <cfRule type="cellIs" priority="15" operator="equal" aboveAverage="0" equalAverage="0" bottom="0" percent="0" rank="0" text="" dxfId="13">
      <formula>$L$44</formula>
    </cfRule>
    <cfRule type="cellIs" priority="16" operator="equal" aboveAverage="0" equalAverage="0" bottom="0" percent="0" rank="0" text="" dxfId="14">
      <formula>$L$45</formula>
    </cfRule>
    <cfRule type="cellIs" priority="17" operator="equal" aboveAverage="0" equalAverage="0" bottom="0" percent="0" rank="0" text="" dxfId="15">
      <formula>$L$46</formula>
    </cfRule>
    <cfRule type="cellIs" priority="18" operator="equal" aboveAverage="0" equalAverage="0" bottom="0" percent="0" rank="0" text="" dxfId="16">
      <formula>$L$47</formula>
    </cfRule>
    <cfRule type="cellIs" priority="19" operator="equal" aboveAverage="0" equalAverage="0" bottom="0" percent="0" rank="0" text="" dxfId="17">
      <formula>$L$48</formula>
    </cfRule>
    <cfRule type="cellIs" priority="20" operator="equal" aboveAverage="0" equalAverage="0" bottom="0" percent="0" rank="0" text="" dxfId="18">
      <formula>$L$49</formula>
    </cfRule>
    <cfRule type="cellIs" priority="21" operator="equal" aboveAverage="0" equalAverage="0" bottom="0" percent="0" rank="0" text="" dxfId="19">
      <formula>$L$50</formula>
    </cfRule>
  </conditionalFormatting>
  <conditionalFormatting sqref="R36">
    <cfRule type="cellIs" priority="22" operator="lessThan" aboveAverage="0" equalAverage="0" bottom="0" percent="0" rank="0" text="" dxfId="20">
      <formula>0</formula>
    </cfRule>
    <cfRule type="cellIs" priority="23" operator="equal" aboveAverage="0" equalAverage="0" bottom="0" percent="0" rank="0" text="" dxfId="21">
      <formula>0</formula>
    </cfRule>
    <cfRule type="cellIs" priority="24" operator="lessThan" aboveAverage="0" equalAverage="0" bottom="0" percent="0" rank="0" text="" dxfId="22">
      <formula>$P$36</formula>
    </cfRule>
  </conditionalFormatting>
  <conditionalFormatting sqref="R37">
    <cfRule type="cellIs" priority="25" operator="lessThan" aboveAverage="0" equalAverage="0" bottom="0" percent="0" rank="0" text="" dxfId="23">
      <formula>$P$37</formula>
    </cfRule>
  </conditionalFormatting>
  <conditionalFormatting sqref="R37:R50">
    <cfRule type="cellIs" priority="26" operator="lessThan" aboveAverage="0" equalAverage="0" bottom="0" percent="0" rank="0" text="" dxfId="24">
      <formula>0</formula>
    </cfRule>
    <cfRule type="cellIs" priority="27" operator="equal" aboveAverage="0" equalAverage="0" bottom="0" percent="0" rank="0" text="" dxfId="25">
      <formula>0</formula>
    </cfRule>
  </conditionalFormatting>
  <conditionalFormatting sqref="R38">
    <cfRule type="cellIs" priority="28" operator="lessThan" aboveAverage="0" equalAverage="0" bottom="0" percent="0" rank="0" text="" dxfId="26">
      <formula>$P$38</formula>
    </cfRule>
  </conditionalFormatting>
  <conditionalFormatting sqref="R39">
    <cfRule type="cellIs" priority="29" operator="lessThan" aboveAverage="0" equalAverage="0" bottom="0" percent="0" rank="0" text="" dxfId="27">
      <formula>$P$39</formula>
    </cfRule>
  </conditionalFormatting>
  <conditionalFormatting sqref="R40">
    <cfRule type="cellIs" priority="30" operator="lessThan" aboveAverage="0" equalAverage="0" bottom="0" percent="0" rank="0" text="" dxfId="28">
      <formula>$P$40</formula>
    </cfRule>
  </conditionalFormatting>
  <conditionalFormatting sqref="R41">
    <cfRule type="cellIs" priority="31" operator="lessThan" aboveAverage="0" equalAverage="0" bottom="0" percent="0" rank="0" text="" dxfId="29">
      <formula>$P$41</formula>
    </cfRule>
  </conditionalFormatting>
  <conditionalFormatting sqref="R42">
    <cfRule type="cellIs" priority="32" operator="greaterThan" aboveAverage="0" equalAverage="0" bottom="0" percent="0" rank="0" text="" dxfId="30">
      <formula>$P$42</formula>
    </cfRule>
  </conditionalFormatting>
  <conditionalFormatting sqref="R43">
    <cfRule type="cellIs" priority="33" operator="lessThan" aboveAverage="0" equalAverage="0" bottom="0" percent="0" rank="0" text="" dxfId="31">
      <formula>$P$43</formula>
    </cfRule>
  </conditionalFormatting>
  <conditionalFormatting sqref="R44">
    <cfRule type="cellIs" priority="34" operator="lessThan" aboveAverage="0" equalAverage="0" bottom="0" percent="0" rank="0" text="" dxfId="32">
      <formula>$P$44</formula>
    </cfRule>
  </conditionalFormatting>
  <conditionalFormatting sqref="R45">
    <cfRule type="cellIs" priority="35" operator="lessThan" aboveAverage="0" equalAverage="0" bottom="0" percent="0" rank="0" text="" dxfId="33">
      <formula>$P$45</formula>
    </cfRule>
  </conditionalFormatting>
  <conditionalFormatting sqref="R46">
    <cfRule type="cellIs" priority="36" operator="lessThan" aboveAverage="0" equalAverage="0" bottom="0" percent="0" rank="0" text="" dxfId="34">
      <formula>$P$46</formula>
    </cfRule>
  </conditionalFormatting>
  <conditionalFormatting sqref="R47">
    <cfRule type="cellIs" priority="37" operator="lessThan" aboveAverage="0" equalAverage="0" bottom="0" percent="0" rank="0" text="" dxfId="35">
      <formula>$P$47</formula>
    </cfRule>
  </conditionalFormatting>
  <conditionalFormatting sqref="R48">
    <cfRule type="cellIs" priority="38" operator="lessThan" aboveAverage="0" equalAverage="0" bottom="0" percent="0" rank="0" text="" dxfId="36">
      <formula>$P$48</formula>
    </cfRule>
  </conditionalFormatting>
  <conditionalFormatting sqref="R49">
    <cfRule type="cellIs" priority="39" operator="lessThan" aboveAverage="0" equalAverage="0" bottom="0" percent="0" rank="0" text="" dxfId="37">
      <formula>$P$49</formula>
    </cfRule>
  </conditionalFormatting>
  <conditionalFormatting sqref="R50">
    <cfRule type="cellIs" priority="40" operator="lessThan" aboveAverage="0" equalAverage="0" bottom="0" percent="0" rank="0" text="" dxfId="38">
      <formula>$P$50</formula>
    </cfRule>
  </conditionalFormatting>
  <dataValidations count="2">
    <dataValidation allowBlank="true" errorStyle="stop" operator="between" showDropDown="false" showErrorMessage="true" showInputMessage="true" sqref="M36:O50" type="list">
      <formula1>$B$36:$B$50</formula1>
      <formula2>0</formula2>
    </dataValidation>
    <dataValidation allowBlank="true" errorStyle="stop" operator="between" showDropDown="false" showErrorMessage="true" showInputMessage="true" sqref="B36:E50" type="list">
      <formula1>Materias_Dispo_26_2!$C$3:$C$267</formula1>
      <formula2>0</formula2>
    </dataValidation>
  </dataValidations>
  <hyperlinks>
    <hyperlink ref="C7" r:id="rId2" display="marron.bruce.mx@gmail.com"/>
  </hyperlinks>
  <printOptions headings="false" gridLines="false" gridLinesSet="true" horizontalCentered="true" verticalCentered="false"/>
  <pageMargins left="0.118055555555556" right="0.118055555555556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3.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70" t="s">
        <v>96</v>
      </c>
      <c r="B1" s="70" t="s">
        <v>97</v>
      </c>
      <c r="D1" s="0" t="s">
        <v>96</v>
      </c>
      <c r="E1" s="0" t="s">
        <v>98</v>
      </c>
    </row>
    <row r="2" customFormat="false" ht="15" hidden="false" customHeight="false" outlineLevel="0" collapsed="false">
      <c r="A2" s="70" t="n">
        <v>1</v>
      </c>
      <c r="B2" s="0" t="s">
        <v>99</v>
      </c>
      <c r="D2" s="0" t="n">
        <v>1</v>
      </c>
      <c r="E2" s="0" t="s">
        <v>100</v>
      </c>
    </row>
    <row r="3" customFormat="false" ht="15" hidden="false" customHeight="false" outlineLevel="0" collapsed="false">
      <c r="A3" s="70" t="n">
        <v>2</v>
      </c>
      <c r="B3" s="0" t="s">
        <v>101</v>
      </c>
      <c r="D3" s="0" t="n">
        <v>2</v>
      </c>
      <c r="E3" s="0" t="s">
        <v>102</v>
      </c>
    </row>
    <row r="4" customFormat="false" ht="15" hidden="false" customHeight="false" outlineLevel="0" collapsed="false">
      <c r="A4" s="70" t="n">
        <v>3</v>
      </c>
      <c r="B4" s="0" t="s">
        <v>103</v>
      </c>
      <c r="D4" s="0" t="n">
        <v>3</v>
      </c>
      <c r="E4" s="0" t="s">
        <v>59</v>
      </c>
    </row>
    <row r="5" customFormat="false" ht="15" hidden="false" customHeight="false" outlineLevel="0" collapsed="false">
      <c r="A5" s="70" t="n">
        <v>4</v>
      </c>
      <c r="B5" s="71" t="s">
        <v>104</v>
      </c>
      <c r="D5" s="0" t="n">
        <v>4</v>
      </c>
      <c r="E5" s="0" t="s">
        <v>62</v>
      </c>
    </row>
    <row r="6" customFormat="false" ht="15" hidden="false" customHeight="false" outlineLevel="0" collapsed="false">
      <c r="A6" s="70" t="n">
        <v>5</v>
      </c>
      <c r="B6" s="71" t="s">
        <v>105</v>
      </c>
      <c r="D6" s="0" t="n">
        <v>5</v>
      </c>
      <c r="E6" s="0" t="s">
        <v>65</v>
      </c>
    </row>
    <row r="7" customFormat="false" ht="15" hidden="false" customHeight="false" outlineLevel="0" collapsed="false">
      <c r="A7" s="70" t="n">
        <v>6</v>
      </c>
      <c r="B7" s="71" t="s">
        <v>106</v>
      </c>
      <c r="D7" s="0" t="n">
        <v>6</v>
      </c>
      <c r="E7" s="0" t="s">
        <v>68</v>
      </c>
    </row>
    <row r="8" customFormat="false" ht="15" hidden="false" customHeight="false" outlineLevel="0" collapsed="false">
      <c r="A8" s="70" t="n">
        <v>7</v>
      </c>
      <c r="B8" s="71" t="s">
        <v>107</v>
      </c>
      <c r="D8" s="0" t="n">
        <v>7</v>
      </c>
      <c r="E8" s="0" t="s">
        <v>71</v>
      </c>
    </row>
    <row r="9" customFormat="false" ht="15" hidden="false" customHeight="false" outlineLevel="0" collapsed="false">
      <c r="A9" s="70" t="n">
        <v>8</v>
      </c>
      <c r="B9" s="71" t="s">
        <v>108</v>
      </c>
      <c r="D9" s="0" t="n">
        <v>8</v>
      </c>
      <c r="E9" s="0" t="s">
        <v>74</v>
      </c>
    </row>
    <row r="10" customFormat="false" ht="15" hidden="false" customHeight="false" outlineLevel="0" collapsed="false">
      <c r="A10" s="70" t="n">
        <v>9</v>
      </c>
      <c r="B10" s="71" t="s">
        <v>109</v>
      </c>
      <c r="D10" s="0" t="n">
        <v>9</v>
      </c>
      <c r="E10" s="0" t="s">
        <v>77</v>
      </c>
    </row>
    <row r="11" customFormat="false" ht="15" hidden="false" customHeight="false" outlineLevel="0" collapsed="false">
      <c r="A11" s="70" t="n">
        <v>10</v>
      </c>
      <c r="B11" s="71" t="s">
        <v>110</v>
      </c>
      <c r="D11" s="0" t="n">
        <v>10</v>
      </c>
      <c r="E11" s="0" t="s">
        <v>80</v>
      </c>
    </row>
    <row r="12" customFormat="false" ht="15" hidden="false" customHeight="false" outlineLevel="0" collapsed="false">
      <c r="A12" s="70" t="n">
        <v>11</v>
      </c>
      <c r="B12" s="71" t="s">
        <v>111</v>
      </c>
      <c r="D12" s="0" t="n">
        <v>11</v>
      </c>
      <c r="E12" s="0" t="s">
        <v>83</v>
      </c>
    </row>
    <row r="13" customFormat="false" ht="15" hidden="false" customHeight="false" outlineLevel="0" collapsed="false">
      <c r="D13" s="0" t="n">
        <v>12</v>
      </c>
      <c r="E13" s="0" t="s">
        <v>86</v>
      </c>
    </row>
    <row r="14" customFormat="false" ht="15" hidden="false" customHeight="false" outlineLevel="0" collapsed="false">
      <c r="D14" s="0" t="n">
        <v>13</v>
      </c>
      <c r="E14" s="0" t="s">
        <v>89</v>
      </c>
    </row>
    <row r="15" customFormat="false" ht="15" hidden="false" customHeight="false" outlineLevel="0" collapsed="false">
      <c r="D15" s="0" t="n">
        <v>14</v>
      </c>
      <c r="E15" s="0" t="s">
        <v>92</v>
      </c>
    </row>
    <row r="16" customFormat="false" ht="15" hidden="false" customHeight="false" outlineLevel="0" collapsed="false">
      <c r="D16" s="0" t="n">
        <v>15</v>
      </c>
      <c r="E16" s="0" t="s">
        <v>95</v>
      </c>
    </row>
    <row r="17" customFormat="false" ht="15" hidden="false" customHeight="false" outlineLevel="0" collapsed="false">
      <c r="D17" s="0" t="n">
        <v>16</v>
      </c>
      <c r="E17" s="0" t="s">
        <v>112</v>
      </c>
    </row>
    <row r="18" customFormat="false" ht="15" hidden="false" customHeight="false" outlineLevel="0" collapsed="false">
      <c r="D18" s="0" t="n">
        <v>17</v>
      </c>
      <c r="E18" s="0" t="s">
        <v>63</v>
      </c>
    </row>
    <row r="19" customFormat="false" ht="15" hidden="false" customHeight="false" outlineLevel="0" collapsed="false">
      <c r="D19" s="0" t="n">
        <v>18</v>
      </c>
      <c r="E19" s="0" t="s">
        <v>66</v>
      </c>
    </row>
    <row r="20" customFormat="false" ht="15" hidden="false" customHeight="false" outlineLevel="0" collapsed="false">
      <c r="D20" s="0" t="n">
        <v>19</v>
      </c>
      <c r="E20" s="0" t="s">
        <v>69</v>
      </c>
    </row>
    <row r="21" customFormat="false" ht="15" hidden="false" customHeight="false" outlineLevel="0" collapsed="false">
      <c r="D21" s="0" t="n">
        <v>20</v>
      </c>
      <c r="E21" s="0" t="s">
        <v>72</v>
      </c>
    </row>
    <row r="22" customFormat="false" ht="15" hidden="false" customHeight="false" outlineLevel="0" collapsed="false">
      <c r="D22" s="0" t="n">
        <v>21</v>
      </c>
      <c r="E22" s="0" t="s">
        <v>113</v>
      </c>
    </row>
    <row r="23" customFormat="false" ht="15" hidden="false" customHeight="false" outlineLevel="0" collapsed="false">
      <c r="D23" s="0" t="n">
        <v>22</v>
      </c>
      <c r="E23" s="0" t="s">
        <v>75</v>
      </c>
    </row>
    <row r="24" customFormat="false" ht="15" hidden="false" customHeight="false" outlineLevel="0" collapsed="false">
      <c r="D24" s="0" t="n">
        <v>23</v>
      </c>
      <c r="E24" s="0" t="s">
        <v>78</v>
      </c>
    </row>
    <row r="25" customFormat="false" ht="15" hidden="false" customHeight="false" outlineLevel="0" collapsed="false">
      <c r="D25" s="0" t="n">
        <v>24</v>
      </c>
      <c r="E25" s="0" t="s">
        <v>114</v>
      </c>
    </row>
    <row r="26" customFormat="false" ht="15" hidden="false" customHeight="false" outlineLevel="0" collapsed="false">
      <c r="D26" s="0" t="n">
        <v>25</v>
      </c>
      <c r="E26" s="0" t="s">
        <v>81</v>
      </c>
    </row>
    <row r="27" customFormat="false" ht="15" hidden="false" customHeight="false" outlineLevel="0" collapsed="false">
      <c r="D27" s="0" t="n">
        <v>26</v>
      </c>
      <c r="E27" s="0" t="s">
        <v>115</v>
      </c>
    </row>
    <row r="28" customFormat="false" ht="15" hidden="false" customHeight="false" outlineLevel="0" collapsed="false">
      <c r="D28" s="0" t="n">
        <v>27</v>
      </c>
      <c r="E28" s="0" t="s">
        <v>116</v>
      </c>
    </row>
    <row r="29" customFormat="false" ht="15" hidden="false" customHeight="false" outlineLevel="0" collapsed="false">
      <c r="D29" s="0" t="n">
        <v>28</v>
      </c>
      <c r="E29" s="0" t="s">
        <v>117</v>
      </c>
    </row>
    <row r="30" customFormat="false" ht="15" hidden="false" customHeight="false" outlineLevel="0" collapsed="false">
      <c r="D30" s="0" t="n">
        <v>29</v>
      </c>
      <c r="E30" s="0" t="s">
        <v>87</v>
      </c>
    </row>
    <row r="31" customFormat="false" ht="15" hidden="false" customHeight="false" outlineLevel="0" collapsed="false">
      <c r="D31" s="0" t="n">
        <v>30</v>
      </c>
      <c r="E31" s="0" t="s">
        <v>90</v>
      </c>
    </row>
    <row r="32" customFormat="false" ht="15" hidden="false" customHeight="false" outlineLevel="0" collapsed="false">
      <c r="D32" s="0" t="n">
        <v>31</v>
      </c>
      <c r="E32" s="0" t="s">
        <v>93</v>
      </c>
    </row>
    <row r="33" customFormat="false" ht="15" hidden="false" customHeight="false" outlineLevel="0" collapsed="false">
      <c r="D33" s="0" t="n">
        <v>32</v>
      </c>
      <c r="E33" s="0" t="s">
        <v>61</v>
      </c>
    </row>
    <row r="34" customFormat="false" ht="15" hidden="false" customHeight="false" outlineLevel="0" collapsed="false">
      <c r="D34" s="0" t="n">
        <v>33</v>
      </c>
      <c r="E34" s="0" t="s">
        <v>64</v>
      </c>
    </row>
    <row r="35" customFormat="false" ht="15" hidden="false" customHeight="false" outlineLevel="0" collapsed="false">
      <c r="D35" s="0" t="n">
        <v>34</v>
      </c>
      <c r="E35" s="0" t="s">
        <v>67</v>
      </c>
    </row>
    <row r="36" customFormat="false" ht="15" hidden="false" customHeight="false" outlineLevel="0" collapsed="false">
      <c r="D36" s="0" t="n">
        <v>35</v>
      </c>
      <c r="E36" s="0" t="s">
        <v>70</v>
      </c>
    </row>
    <row r="37" customFormat="false" ht="15" hidden="false" customHeight="false" outlineLevel="0" collapsed="false">
      <c r="D37" s="0" t="n">
        <v>36</v>
      </c>
      <c r="E37" s="0" t="s">
        <v>73</v>
      </c>
    </row>
    <row r="38" customFormat="false" ht="15" hidden="false" customHeight="false" outlineLevel="0" collapsed="false">
      <c r="D38" s="0" t="n">
        <v>37</v>
      </c>
      <c r="E38" s="0" t="s">
        <v>76</v>
      </c>
    </row>
    <row r="39" customFormat="false" ht="15" hidden="false" customHeight="false" outlineLevel="0" collapsed="false">
      <c r="D39" s="0" t="n">
        <v>38</v>
      </c>
      <c r="E39" s="0" t="s">
        <v>79</v>
      </c>
    </row>
    <row r="40" customFormat="false" ht="15" hidden="false" customHeight="false" outlineLevel="0" collapsed="false">
      <c r="D40" s="0" t="n">
        <v>39</v>
      </c>
      <c r="E40" s="0" t="s">
        <v>82</v>
      </c>
    </row>
    <row r="41" customFormat="false" ht="15" hidden="false" customHeight="false" outlineLevel="0" collapsed="false">
      <c r="D41" s="0" t="n">
        <v>40</v>
      </c>
      <c r="E41" s="0" t="s">
        <v>85</v>
      </c>
    </row>
    <row r="42" customFormat="false" ht="15" hidden="false" customHeight="false" outlineLevel="0" collapsed="false">
      <c r="D42" s="0" t="n">
        <v>41</v>
      </c>
      <c r="E42" s="0" t="s">
        <v>88</v>
      </c>
    </row>
    <row r="43" customFormat="false" ht="15" hidden="false" customHeight="false" outlineLevel="0" collapsed="false">
      <c r="D43" s="0" t="n">
        <v>42</v>
      </c>
      <c r="E43" s="0" t="s">
        <v>91</v>
      </c>
    </row>
    <row r="44" customFormat="false" ht="15" hidden="false" customHeight="false" outlineLevel="0" collapsed="false">
      <c r="D44" s="0" t="n">
        <v>43</v>
      </c>
      <c r="E44" s="0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26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3" activeCellId="0" sqref="A3"/>
    </sheetView>
  </sheetViews>
  <sheetFormatPr defaultColWidth="11.29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3.28"/>
    <col collapsed="false" customWidth="true" hidden="false" outlineLevel="0" max="3" min="3" style="0" width="36"/>
    <col collapsed="false" customWidth="true" hidden="false" outlineLevel="0" max="4" min="4" style="0" width="6.85"/>
    <col collapsed="false" customWidth="true" hidden="false" outlineLevel="0" max="5" min="5" style="0" width="6.57"/>
    <col collapsed="false" customWidth="true" hidden="false" outlineLevel="0" max="6" min="6" style="0" width="4.7"/>
    <col collapsed="false" customWidth="true" hidden="false" outlineLevel="0" max="7" min="7" style="0" width="54.28"/>
    <col collapsed="false" customWidth="true" hidden="false" outlineLevel="0" max="8" min="8" style="0" width="13.85"/>
    <col collapsed="false" customWidth="true" hidden="false" outlineLevel="0" max="9" min="9" style="0" width="11"/>
  </cols>
  <sheetData>
    <row r="2" customFormat="false" ht="15" hidden="false" customHeight="false" outlineLevel="0" collapsed="false">
      <c r="A2" s="72" t="s">
        <v>96</v>
      </c>
      <c r="B2" s="72" t="s">
        <v>118</v>
      </c>
      <c r="C2" s="72"/>
      <c r="D2" s="72" t="s">
        <v>119</v>
      </c>
      <c r="E2" s="72" t="s">
        <v>120</v>
      </c>
      <c r="F2" s="72" t="s">
        <v>121</v>
      </c>
      <c r="G2" s="72" t="s">
        <v>122</v>
      </c>
      <c r="H2" s="72" t="s">
        <v>123</v>
      </c>
      <c r="I2" s="72" t="s">
        <v>124</v>
      </c>
    </row>
    <row r="3" customFormat="false" ht="15" hidden="false" customHeight="false" outlineLevel="0" collapsed="false">
      <c r="A3" s="70" t="n">
        <v>1</v>
      </c>
      <c r="B3" s="70" t="n">
        <v>1</v>
      </c>
      <c r="C3" s="73" t="str">
        <f aca="false">_xlfn.CONCAT(E3,". ",D3," ",G3," (",I3,")")</f>
        <v>1. ACT Álgebra Superior I (4)</v>
      </c>
      <c r="D3" s="74" t="s">
        <v>125</v>
      </c>
      <c r="E3" s="74" t="n">
        <v>1</v>
      </c>
      <c r="F3" s="74" t="n">
        <v>1</v>
      </c>
      <c r="G3" s="75" t="s">
        <v>126</v>
      </c>
      <c r="H3" s="76" t="s">
        <v>127</v>
      </c>
      <c r="I3" s="74" t="n">
        <v>4</v>
      </c>
    </row>
    <row r="4" customFormat="false" ht="15" hidden="false" customHeight="false" outlineLevel="0" collapsed="false">
      <c r="A4" s="70" t="n">
        <v>2</v>
      </c>
      <c r="B4" s="70" t="n">
        <v>1</v>
      </c>
      <c r="C4" s="73" t="str">
        <f aca="false">_xlfn.CONCAT(E4,". ",D4," ",G4," (",I4,")")</f>
        <v>1. ACT Introducción a la Programación (4)</v>
      </c>
      <c r="D4" s="74" t="s">
        <v>125</v>
      </c>
      <c r="E4" s="74" t="n">
        <v>1</v>
      </c>
      <c r="F4" s="74" t="n">
        <v>2</v>
      </c>
      <c r="G4" s="75" t="s">
        <v>128</v>
      </c>
      <c r="H4" s="76" t="s">
        <v>129</v>
      </c>
      <c r="I4" s="74" t="n">
        <v>4</v>
      </c>
    </row>
    <row r="5" customFormat="false" ht="15" hidden="false" customHeight="false" outlineLevel="0" collapsed="false">
      <c r="A5" s="70" t="n">
        <v>3</v>
      </c>
      <c r="B5" s="70" t="n">
        <v>1</v>
      </c>
      <c r="C5" s="73" t="str">
        <f aca="false">_xlfn.CONCAT(E5,". ",D5," ",G5," (",I5,")")</f>
        <v>1. ACT Cálculo Diferencial e Intregal I (6)</v>
      </c>
      <c r="D5" s="74" t="s">
        <v>125</v>
      </c>
      <c r="E5" s="74" t="n">
        <v>1</v>
      </c>
      <c r="F5" s="74" t="n">
        <v>3</v>
      </c>
      <c r="G5" s="75" t="s">
        <v>130</v>
      </c>
      <c r="H5" s="76" t="s">
        <v>131</v>
      </c>
      <c r="I5" s="74" t="n">
        <v>6</v>
      </c>
    </row>
    <row r="6" customFormat="false" ht="15" hidden="false" customHeight="false" outlineLevel="0" collapsed="false">
      <c r="A6" s="70" t="n">
        <v>4</v>
      </c>
      <c r="B6" s="70" t="n">
        <v>1</v>
      </c>
      <c r="C6" s="73" t="str">
        <f aca="false">_xlfn.CONCAT(E6,". ",D6," ",G6," (",I6,")")</f>
        <v>1. ACT Geometría Analítica (4)</v>
      </c>
      <c r="D6" s="74" t="s">
        <v>125</v>
      </c>
      <c r="E6" s="74" t="n">
        <v>1</v>
      </c>
      <c r="F6" s="74" t="n">
        <v>4</v>
      </c>
      <c r="G6" s="75" t="s">
        <v>132</v>
      </c>
      <c r="H6" s="76" t="s">
        <v>133</v>
      </c>
      <c r="I6" s="74" t="n">
        <v>4</v>
      </c>
    </row>
    <row r="7" customFormat="false" ht="15" hidden="false" customHeight="false" outlineLevel="0" collapsed="false">
      <c r="A7" s="70" t="n">
        <v>5</v>
      </c>
      <c r="B7" s="70" t="n">
        <v>1</v>
      </c>
      <c r="C7" s="73" t="str">
        <f aca="false">_xlfn.CONCAT(E7,". ",D7," ",G7," (",I7,")")</f>
        <v>1. ACT Teoría Financiera (4)</v>
      </c>
      <c r="D7" s="74" t="s">
        <v>125</v>
      </c>
      <c r="E7" s="74" t="n">
        <v>1</v>
      </c>
      <c r="F7" s="74" t="n">
        <v>5</v>
      </c>
      <c r="G7" s="75" t="s">
        <v>134</v>
      </c>
      <c r="H7" s="76" t="s">
        <v>135</v>
      </c>
      <c r="I7" s="74" t="n">
        <v>4</v>
      </c>
    </row>
    <row r="8" customFormat="false" ht="15" hidden="false" customHeight="false" outlineLevel="0" collapsed="false">
      <c r="A8" s="70" t="n">
        <v>6</v>
      </c>
      <c r="B8" s="70" t="n">
        <v>1</v>
      </c>
      <c r="C8" s="73" t="str">
        <f aca="false">_xlfn.CONCAT(E8,". ",D8," ",G8," (",I8,")")</f>
        <v>2. ACT Álgebra Superior II (4)</v>
      </c>
      <c r="D8" s="74" t="s">
        <v>125</v>
      </c>
      <c r="E8" s="74" t="n">
        <v>2</v>
      </c>
      <c r="F8" s="74" t="n">
        <v>1</v>
      </c>
      <c r="G8" s="75" t="s">
        <v>136</v>
      </c>
      <c r="H8" s="75" t="s">
        <v>137</v>
      </c>
      <c r="I8" s="74" t="n">
        <v>4</v>
      </c>
    </row>
    <row r="9" customFormat="false" ht="15" hidden="false" customHeight="false" outlineLevel="0" collapsed="false">
      <c r="A9" s="70" t="n">
        <v>7</v>
      </c>
      <c r="B9" s="70" t="n">
        <v>1</v>
      </c>
      <c r="C9" s="73" t="str">
        <f aca="false">_xlfn.CONCAT(E9,". ",D9," ",G9," (",I9,")")</f>
        <v>2. ACT Programación Orientada a Objetos (POO) (4)</v>
      </c>
      <c r="D9" s="74" t="s">
        <v>125</v>
      </c>
      <c r="E9" s="74" t="n">
        <v>2</v>
      </c>
      <c r="F9" s="74" t="n">
        <v>2</v>
      </c>
      <c r="G9" s="75" t="s">
        <v>138</v>
      </c>
      <c r="H9" s="75" t="s">
        <v>139</v>
      </c>
      <c r="I9" s="74" t="n">
        <v>4</v>
      </c>
    </row>
    <row r="10" customFormat="false" ht="15" hidden="false" customHeight="false" outlineLevel="0" collapsed="false">
      <c r="A10" s="70" t="n">
        <v>8</v>
      </c>
      <c r="B10" s="70" t="n">
        <v>1</v>
      </c>
      <c r="C10" s="73" t="str">
        <f aca="false">_xlfn.CONCAT(E10,". ",D10," ",G10," (",I10,")")</f>
        <v>2. ACT Cálculo Diferencial e Integral II (4)</v>
      </c>
      <c r="D10" s="74" t="s">
        <v>125</v>
      </c>
      <c r="E10" s="74" t="n">
        <v>2</v>
      </c>
      <c r="F10" s="74" t="n">
        <v>3</v>
      </c>
      <c r="G10" s="75" t="s">
        <v>140</v>
      </c>
      <c r="H10" s="75" t="s">
        <v>141</v>
      </c>
      <c r="I10" s="74" t="n">
        <v>4</v>
      </c>
    </row>
    <row r="11" customFormat="false" ht="15" hidden="false" customHeight="false" outlineLevel="0" collapsed="false">
      <c r="A11" s="70" t="n">
        <v>9</v>
      </c>
      <c r="B11" s="70" t="n">
        <v>1</v>
      </c>
      <c r="C11" s="73" t="str">
        <f aca="false">_xlfn.CONCAT(E11,". ",D11," ",G11," (",I11,")")</f>
        <v>2. ACT Teoría de Seguros y Fianzas (3)</v>
      </c>
      <c r="D11" s="74" t="s">
        <v>125</v>
      </c>
      <c r="E11" s="74" t="n">
        <v>2</v>
      </c>
      <c r="F11" s="74" t="n">
        <v>4</v>
      </c>
      <c r="G11" s="75" t="s">
        <v>142</v>
      </c>
      <c r="H11" s="75" t="s">
        <v>143</v>
      </c>
      <c r="I11" s="74" t="n">
        <v>3</v>
      </c>
    </row>
    <row r="12" customFormat="false" ht="15" hidden="false" customHeight="false" outlineLevel="0" collapsed="false">
      <c r="A12" s="70" t="n">
        <v>10</v>
      </c>
      <c r="B12" s="70" t="n">
        <v>1</v>
      </c>
      <c r="C12" s="73" t="str">
        <f aca="false">_xlfn.CONCAT(E12,". ",D12," ",G12," (",I12,")")</f>
        <v>2. ACT Matemáticas Financieras Avanzadas (4)</v>
      </c>
      <c r="D12" s="74" t="s">
        <v>125</v>
      </c>
      <c r="E12" s="74" t="n">
        <v>2</v>
      </c>
      <c r="F12" s="74" t="n">
        <v>5</v>
      </c>
      <c r="G12" s="75" t="s">
        <v>144</v>
      </c>
      <c r="H12" s="75" t="s">
        <v>145</v>
      </c>
      <c r="I12" s="74" t="n">
        <v>4</v>
      </c>
    </row>
    <row r="13" customFormat="false" ht="15" hidden="false" customHeight="false" outlineLevel="0" collapsed="false">
      <c r="A13" s="70" t="n">
        <v>11</v>
      </c>
      <c r="B13" s="70" t="n">
        <v>1</v>
      </c>
      <c r="C13" s="73" t="str">
        <f aca="false">_xlfn.CONCAT(E13,". ",D13," ",G13," (",I13,")")</f>
        <v>5. ACT Economía (5)</v>
      </c>
      <c r="D13" s="74" t="s">
        <v>125</v>
      </c>
      <c r="E13" s="74" t="n">
        <v>5</v>
      </c>
      <c r="F13" s="74" t="n">
        <v>1</v>
      </c>
      <c r="G13" s="75" t="s">
        <v>146</v>
      </c>
      <c r="H13" s="75" t="s">
        <v>147</v>
      </c>
      <c r="I13" s="74" t="n">
        <v>5</v>
      </c>
    </row>
    <row r="14" customFormat="false" ht="15" hidden="false" customHeight="false" outlineLevel="0" collapsed="false">
      <c r="A14" s="70" t="n">
        <v>12</v>
      </c>
      <c r="B14" s="70" t="n">
        <v>1</v>
      </c>
      <c r="C14" s="73" t="str">
        <f aca="false">_xlfn.CONCAT(E14,". ",D14," ",G14," (",I14,")")</f>
        <v>5. ACT Análisis Estadístico Paramétrico (5)</v>
      </c>
      <c r="D14" s="74" t="s">
        <v>125</v>
      </c>
      <c r="E14" s="74" t="n">
        <v>5</v>
      </c>
      <c r="F14" s="74" t="n">
        <v>2</v>
      </c>
      <c r="G14" s="75" t="s">
        <v>148</v>
      </c>
      <c r="H14" s="75" t="s">
        <v>149</v>
      </c>
      <c r="I14" s="74" t="n">
        <v>5</v>
      </c>
    </row>
    <row r="15" customFormat="false" ht="15" hidden="false" customHeight="false" outlineLevel="0" collapsed="false">
      <c r="A15" s="70" t="n">
        <v>13</v>
      </c>
      <c r="B15" s="70" t="n">
        <v>1</v>
      </c>
      <c r="C15" s="73" t="str">
        <f aca="false">_xlfn.CONCAT(E15,". ",D15," ",G15," (",I15,")")</f>
        <v>5. ACT Análisis Numérico (4)</v>
      </c>
      <c r="D15" s="74" t="s">
        <v>125</v>
      </c>
      <c r="E15" s="74" t="n">
        <v>5</v>
      </c>
      <c r="F15" s="74" t="n">
        <v>3</v>
      </c>
      <c r="G15" s="75" t="s">
        <v>150</v>
      </c>
      <c r="H15" s="75" t="s">
        <v>151</v>
      </c>
      <c r="I15" s="74" t="n">
        <v>4</v>
      </c>
    </row>
    <row r="16" customFormat="false" ht="15" hidden="false" customHeight="false" outlineLevel="0" collapsed="false">
      <c r="A16" s="70" t="n">
        <v>14</v>
      </c>
      <c r="B16" s="70" t="n">
        <v>1</v>
      </c>
      <c r="C16" s="73" t="str">
        <f aca="false">_xlfn.CONCAT(E16,". ",D16," ",G16," (",I16,")")</f>
        <v>5. ACT Cálculo Actuarial II (4)</v>
      </c>
      <c r="D16" s="74" t="s">
        <v>125</v>
      </c>
      <c r="E16" s="74" t="n">
        <v>5</v>
      </c>
      <c r="F16" s="74" t="n">
        <v>4</v>
      </c>
      <c r="G16" s="75" t="s">
        <v>152</v>
      </c>
      <c r="H16" s="75" t="s">
        <v>153</v>
      </c>
      <c r="I16" s="74" t="n">
        <v>4</v>
      </c>
    </row>
    <row r="17" customFormat="false" ht="15" hidden="false" customHeight="false" outlineLevel="0" collapsed="false">
      <c r="A17" s="70" t="n">
        <v>15</v>
      </c>
      <c r="B17" s="70" t="n">
        <v>1</v>
      </c>
      <c r="C17" s="73" t="str">
        <f aca="false">_xlfn.CONCAT(E17,". ",D17," ",G17," (",I17,")")</f>
        <v>5. ACT Mercado Bursátil (4)</v>
      </c>
      <c r="D17" s="74" t="s">
        <v>125</v>
      </c>
      <c r="E17" s="74" t="n">
        <v>5</v>
      </c>
      <c r="F17" s="74" t="n">
        <v>5</v>
      </c>
      <c r="G17" s="75" t="s">
        <v>154</v>
      </c>
      <c r="H17" s="75" t="s">
        <v>155</v>
      </c>
      <c r="I17" s="74" t="n">
        <v>4</v>
      </c>
    </row>
    <row r="18" customFormat="false" ht="15" hidden="false" customHeight="false" outlineLevel="0" collapsed="false">
      <c r="A18" s="70" t="n">
        <v>16</v>
      </c>
      <c r="B18" s="70" t="n">
        <v>1</v>
      </c>
      <c r="C18" s="73" t="str">
        <f aca="false">_xlfn.CONCAT(E18,". ",D18," ",G18," (",I18,")")</f>
        <v>8. ACT Temas Selectos para el Análisis de Datos (5)</v>
      </c>
      <c r="D18" s="74" t="s">
        <v>125</v>
      </c>
      <c r="E18" s="74" t="n">
        <v>8</v>
      </c>
      <c r="F18" s="74" t="n">
        <v>1</v>
      </c>
      <c r="G18" s="75" t="s">
        <v>156</v>
      </c>
      <c r="H18" s="75" t="s">
        <v>157</v>
      </c>
      <c r="I18" s="74" t="n">
        <v>5</v>
      </c>
    </row>
    <row r="19" customFormat="false" ht="15" hidden="false" customHeight="false" outlineLevel="0" collapsed="false">
      <c r="A19" s="70" t="n">
        <v>17</v>
      </c>
      <c r="B19" s="70" t="n">
        <v>1</v>
      </c>
      <c r="C19" s="73" t="str">
        <f aca="false">_xlfn.CONCAT(E19,". ",D19," ",G19," (",I19,")")</f>
        <v>8. ACT Teoría de Decisiones y Juegos (4)</v>
      </c>
      <c r="D19" s="74" t="s">
        <v>125</v>
      </c>
      <c r="E19" s="74" t="n">
        <v>8</v>
      </c>
      <c r="F19" s="74" t="n">
        <v>2</v>
      </c>
      <c r="G19" s="75" t="s">
        <v>158</v>
      </c>
      <c r="H19" s="75" t="s">
        <v>159</v>
      </c>
      <c r="I19" s="74" t="n">
        <v>4</v>
      </c>
    </row>
    <row r="20" customFormat="false" ht="15" hidden="false" customHeight="false" outlineLevel="0" collapsed="false">
      <c r="A20" s="70" t="n">
        <v>18</v>
      </c>
      <c r="B20" s="70" t="n">
        <v>1</v>
      </c>
      <c r="C20" s="73" t="str">
        <f aca="false">_xlfn.CONCAT(E20,". ",D20," ",G20," (",I20,")")</f>
        <v>8. ACT Teoría del Riesgo (4)</v>
      </c>
      <c r="D20" s="74" t="s">
        <v>125</v>
      </c>
      <c r="E20" s="74" t="n">
        <v>8</v>
      </c>
      <c r="F20" s="74" t="n">
        <v>3</v>
      </c>
      <c r="G20" s="75" t="s">
        <v>160</v>
      </c>
      <c r="H20" s="75" t="s">
        <v>161</v>
      </c>
      <c r="I20" s="74" t="n">
        <v>4</v>
      </c>
    </row>
    <row r="21" customFormat="false" ht="15" hidden="false" customHeight="false" outlineLevel="0" collapsed="false">
      <c r="A21" s="70" t="n">
        <v>19</v>
      </c>
      <c r="B21" s="70" t="n">
        <v>1</v>
      </c>
      <c r="C21" s="73" t="str">
        <f aca="false">_xlfn.CONCAT(E21,". ",D21," ",G21," (",I21,")")</f>
        <v>8. ACT Modelos Actuariales Aplicados a la Seguridad Social (4)</v>
      </c>
      <c r="D21" s="74" t="s">
        <v>125</v>
      </c>
      <c r="E21" s="74" t="n">
        <v>8</v>
      </c>
      <c r="F21" s="74" t="n">
        <v>4</v>
      </c>
      <c r="G21" s="75" t="s">
        <v>162</v>
      </c>
      <c r="H21" s="75" t="s">
        <v>163</v>
      </c>
      <c r="I21" s="74" t="n">
        <v>4</v>
      </c>
    </row>
    <row r="22" customFormat="false" ht="15" hidden="false" customHeight="false" outlineLevel="0" collapsed="false">
      <c r="A22" s="70" t="n">
        <v>20</v>
      </c>
      <c r="B22" s="70" t="n">
        <v>1</v>
      </c>
      <c r="C22" s="73" t="str">
        <f aca="false">_xlfn.CONCAT(E22,". ",D22," ",G22," (",I22,")")</f>
        <v>8. ACT Productos Financieros Derivados (5)</v>
      </c>
      <c r="D22" s="74" t="s">
        <v>125</v>
      </c>
      <c r="E22" s="74" t="n">
        <v>8</v>
      </c>
      <c r="F22" s="74" t="n">
        <v>5</v>
      </c>
      <c r="G22" s="75" t="s">
        <v>164</v>
      </c>
      <c r="H22" s="75" t="s">
        <v>165</v>
      </c>
      <c r="I22" s="74" t="n">
        <v>5</v>
      </c>
    </row>
    <row r="23" customFormat="false" ht="15" hidden="false" customHeight="false" outlineLevel="0" collapsed="false">
      <c r="A23" s="70" t="n">
        <v>21</v>
      </c>
      <c r="B23" s="70" t="n">
        <v>2</v>
      </c>
      <c r="C23" s="73" t="str">
        <f aca="false">_xlfn.CONCAT(E23,". ",D23," ",G23," (",I23,")")</f>
        <v>1. AAV Introducción a la Animación y Videojuegos (4)</v>
      </c>
      <c r="D23" s="74" t="s">
        <v>166</v>
      </c>
      <c r="E23" s="74" t="n">
        <v>1</v>
      </c>
      <c r="F23" s="74" t="n">
        <v>1</v>
      </c>
      <c r="G23" s="75" t="s">
        <v>167</v>
      </c>
      <c r="H23" s="75" t="s">
        <v>168</v>
      </c>
      <c r="I23" s="74" t="n">
        <v>4</v>
      </c>
    </row>
    <row r="24" customFormat="false" ht="15" hidden="false" customHeight="false" outlineLevel="0" collapsed="false">
      <c r="A24" s="70" t="n">
        <v>22</v>
      </c>
      <c r="B24" s="70" t="n">
        <v>2</v>
      </c>
      <c r="C24" s="73" t="str">
        <f aca="false">_xlfn.CONCAT(E24,". ",D24," ",G24," (",I24,")")</f>
        <v>1. AAV Dibujo I (Geométrico) (6)</v>
      </c>
      <c r="D24" s="74" t="s">
        <v>166</v>
      </c>
      <c r="E24" s="74" t="n">
        <v>1</v>
      </c>
      <c r="F24" s="74" t="n">
        <v>2</v>
      </c>
      <c r="G24" s="75" t="s">
        <v>169</v>
      </c>
      <c r="H24" s="75" t="s">
        <v>170</v>
      </c>
      <c r="I24" s="74" t="n">
        <v>6</v>
      </c>
    </row>
    <row r="25" customFormat="false" ht="15" hidden="false" customHeight="false" outlineLevel="0" collapsed="false">
      <c r="A25" s="70" t="n">
        <v>23</v>
      </c>
      <c r="B25" s="70" t="n">
        <v>2</v>
      </c>
      <c r="C25" s="73" t="str">
        <f aca="false">_xlfn.CONCAT(E25,". ",D25," ",G25," (",I25,")")</f>
        <v>1. AAV Fundamentos del Diseño (4)</v>
      </c>
      <c r="D25" s="74" t="s">
        <v>166</v>
      </c>
      <c r="E25" s="74" t="n">
        <v>1</v>
      </c>
      <c r="F25" s="74" t="n">
        <v>3</v>
      </c>
      <c r="G25" s="75" t="s">
        <v>171</v>
      </c>
      <c r="H25" s="75" t="s">
        <v>172</v>
      </c>
      <c r="I25" s="74" t="n">
        <v>4</v>
      </c>
    </row>
    <row r="26" customFormat="false" ht="15" hidden="false" customHeight="false" outlineLevel="0" collapsed="false">
      <c r="A26" s="70" t="n">
        <v>24</v>
      </c>
      <c r="B26" s="70" t="n">
        <v>2</v>
      </c>
      <c r="C26" s="73" t="str">
        <f aca="false">_xlfn.CONCAT(E26,". ",D26," ",G26," (",I26,")")</f>
        <v>1. AAV Taller de Redacción para Medios Digitales (4)</v>
      </c>
      <c r="D26" s="74" t="s">
        <v>166</v>
      </c>
      <c r="E26" s="74" t="n">
        <v>1</v>
      </c>
      <c r="F26" s="74" t="n">
        <v>4</v>
      </c>
      <c r="G26" s="75" t="s">
        <v>173</v>
      </c>
      <c r="H26" s="75" t="s">
        <v>174</v>
      </c>
      <c r="I26" s="74" t="n">
        <v>4</v>
      </c>
    </row>
    <row r="27" customFormat="false" ht="15" hidden="false" customHeight="false" outlineLevel="0" collapsed="false">
      <c r="A27" s="70" t="n">
        <v>25</v>
      </c>
      <c r="B27" s="70" t="n">
        <v>2</v>
      </c>
      <c r="C27" s="73" t="str">
        <f aca="false">_xlfn.CONCAT(E27,". ",D27," ",G27," (",I27,")")</f>
        <v>1. AAV Narrativa Audiovisual (4)</v>
      </c>
      <c r="D27" s="74" t="s">
        <v>166</v>
      </c>
      <c r="E27" s="74" t="n">
        <v>1</v>
      </c>
      <c r="F27" s="74" t="n">
        <v>5</v>
      </c>
      <c r="G27" s="75" t="s">
        <v>175</v>
      </c>
      <c r="H27" s="75" t="s">
        <v>176</v>
      </c>
      <c r="I27" s="74" t="n">
        <v>4</v>
      </c>
    </row>
    <row r="28" customFormat="false" ht="15" hidden="false" customHeight="false" outlineLevel="0" collapsed="false">
      <c r="A28" s="70" t="n">
        <v>26</v>
      </c>
      <c r="B28" s="70" t="n">
        <v>2</v>
      </c>
      <c r="C28" s="73" t="str">
        <f aca="false">_xlfn.CONCAT(E28,". ",D28," ",G28," (",I28,")")</f>
        <v>2. AAV Fotografía Digital (4)</v>
      </c>
      <c r="D28" s="74" t="s">
        <v>166</v>
      </c>
      <c r="E28" s="74" t="n">
        <v>2</v>
      </c>
      <c r="F28" s="74" t="n">
        <v>1</v>
      </c>
      <c r="G28" s="75" t="s">
        <v>177</v>
      </c>
      <c r="H28" s="75" t="s">
        <v>178</v>
      </c>
      <c r="I28" s="74" t="n">
        <v>4</v>
      </c>
    </row>
    <row r="29" customFormat="false" ht="15" hidden="false" customHeight="false" outlineLevel="0" collapsed="false">
      <c r="A29" s="70" t="n">
        <v>27</v>
      </c>
      <c r="B29" s="70" t="n">
        <v>2</v>
      </c>
      <c r="C29" s="73" t="str">
        <f aca="false">_xlfn.CONCAT(E29,". ",D29," ",G29," (",I29,")")</f>
        <v>2. AAV Dibujo II (Natural) (6)</v>
      </c>
      <c r="D29" s="74" t="s">
        <v>166</v>
      </c>
      <c r="E29" s="74" t="n">
        <v>2</v>
      </c>
      <c r="F29" s="74" t="n">
        <v>2</v>
      </c>
      <c r="G29" s="75" t="s">
        <v>179</v>
      </c>
      <c r="H29" s="75" t="s">
        <v>180</v>
      </c>
      <c r="I29" s="74" t="n">
        <v>6</v>
      </c>
    </row>
    <row r="30" customFormat="false" ht="15" hidden="false" customHeight="false" outlineLevel="0" collapsed="false">
      <c r="A30" s="70" t="n">
        <v>28</v>
      </c>
      <c r="B30" s="70" t="n">
        <v>2</v>
      </c>
      <c r="C30" s="73" t="str">
        <f aca="false">_xlfn.CONCAT(E30,". ",D30," ",G30," (",I30,")")</f>
        <v>2. AAV Ilustración Digital (4)</v>
      </c>
      <c r="D30" s="74" t="s">
        <v>166</v>
      </c>
      <c r="E30" s="74" t="n">
        <v>2</v>
      </c>
      <c r="F30" s="74" t="n">
        <v>3</v>
      </c>
      <c r="G30" s="75" t="s">
        <v>181</v>
      </c>
      <c r="H30" s="75" t="s">
        <v>182</v>
      </c>
      <c r="I30" s="74" t="n">
        <v>4</v>
      </c>
    </row>
    <row r="31" customFormat="false" ht="15" hidden="false" customHeight="false" outlineLevel="0" collapsed="false">
      <c r="A31" s="70" t="n">
        <v>29</v>
      </c>
      <c r="B31" s="70" t="n">
        <v>2</v>
      </c>
      <c r="C31" s="73" t="str">
        <f aca="false">_xlfn.CONCAT(E31,". ",D31," ",G31," (",I31,")")</f>
        <v>2. AAV Matemáticas para Videojuegos (6)</v>
      </c>
      <c r="D31" s="74" t="s">
        <v>166</v>
      </c>
      <c r="E31" s="74" t="n">
        <v>2</v>
      </c>
      <c r="F31" s="74" t="n">
        <v>4</v>
      </c>
      <c r="G31" s="75" t="s">
        <v>183</v>
      </c>
      <c r="H31" s="75" t="s">
        <v>184</v>
      </c>
      <c r="I31" s="74" t="n">
        <v>6</v>
      </c>
    </row>
    <row r="32" customFormat="false" ht="15" hidden="false" customHeight="false" outlineLevel="0" collapsed="false">
      <c r="A32" s="70" t="n">
        <v>30</v>
      </c>
      <c r="B32" s="70" t="n">
        <v>2</v>
      </c>
      <c r="C32" s="73" t="str">
        <f aca="false">_xlfn.CONCAT(E32,". ",D32," ",G32," (",I32,")")</f>
        <v>2. AAV Guionismo I (4)</v>
      </c>
      <c r="D32" s="74" t="s">
        <v>166</v>
      </c>
      <c r="E32" s="74" t="n">
        <v>2</v>
      </c>
      <c r="F32" s="74" t="n">
        <v>5</v>
      </c>
      <c r="G32" s="75" t="s">
        <v>185</v>
      </c>
      <c r="H32" s="75" t="s">
        <v>186</v>
      </c>
      <c r="I32" s="74" t="n">
        <v>4</v>
      </c>
    </row>
    <row r="33" customFormat="false" ht="15" hidden="false" customHeight="false" outlineLevel="0" collapsed="false">
      <c r="A33" s="70" t="n">
        <v>31</v>
      </c>
      <c r="B33" s="70" t="n">
        <v>2</v>
      </c>
      <c r="C33" s="73" t="str">
        <f aca="false">_xlfn.CONCAT(E33,". ",D33," ",G33," (",I33,")")</f>
        <v>3. AAV Animación Tradicional I (4)</v>
      </c>
      <c r="D33" s="74" t="s">
        <v>166</v>
      </c>
      <c r="E33" s="74" t="n">
        <v>3</v>
      </c>
      <c r="F33" s="74" t="n">
        <v>1</v>
      </c>
      <c r="G33" s="75" t="s">
        <v>187</v>
      </c>
      <c r="H33" s="75" t="s">
        <v>188</v>
      </c>
      <c r="I33" s="74" t="n">
        <v>4</v>
      </c>
    </row>
    <row r="34" customFormat="false" ht="15" hidden="false" customHeight="false" outlineLevel="0" collapsed="false">
      <c r="A34" s="70" t="n">
        <v>32</v>
      </c>
      <c r="B34" s="70" t="n">
        <v>2</v>
      </c>
      <c r="C34" s="73" t="str">
        <f aca="false">_xlfn.CONCAT(E34,". ",D34," ",G34," (",I34,")")</f>
        <v>3. AAV Dibujo III (Ilustración y Cómic) (6)</v>
      </c>
      <c r="D34" s="74" t="s">
        <v>166</v>
      </c>
      <c r="E34" s="74" t="n">
        <v>3</v>
      </c>
      <c r="F34" s="74" t="n">
        <v>2</v>
      </c>
      <c r="G34" s="75" t="s">
        <v>189</v>
      </c>
      <c r="H34" s="75" t="s">
        <v>190</v>
      </c>
      <c r="I34" s="74" t="n">
        <v>6</v>
      </c>
    </row>
    <row r="35" customFormat="false" ht="15" hidden="false" customHeight="false" outlineLevel="0" collapsed="false">
      <c r="A35" s="70" t="n">
        <v>33</v>
      </c>
      <c r="B35" s="70" t="n">
        <v>2</v>
      </c>
      <c r="C35" s="73" t="str">
        <f aca="false">_xlfn.CONCAT(E35,". ",D35," ",G35," (",I35,")")</f>
        <v>3. AAV Arte Multimedia y Conceptual (4)</v>
      </c>
      <c r="D35" s="74" t="s">
        <v>166</v>
      </c>
      <c r="E35" s="74" t="n">
        <v>3</v>
      </c>
      <c r="F35" s="74" t="n">
        <v>3</v>
      </c>
      <c r="G35" s="75" t="s">
        <v>191</v>
      </c>
      <c r="H35" s="75" t="s">
        <v>192</v>
      </c>
      <c r="I35" s="74" t="n">
        <v>4</v>
      </c>
    </row>
    <row r="36" customFormat="false" ht="15" hidden="false" customHeight="false" outlineLevel="0" collapsed="false">
      <c r="A36" s="70" t="n">
        <v>34</v>
      </c>
      <c r="B36" s="70" t="n">
        <v>2</v>
      </c>
      <c r="C36" s="73" t="str">
        <f aca="false">_xlfn.CONCAT(E36,". ",D36," ",G36," (",I36,")")</f>
        <v>3. AAV Introducción a la Programación (6)</v>
      </c>
      <c r="D36" s="74" t="s">
        <v>166</v>
      </c>
      <c r="E36" s="74" t="n">
        <v>3</v>
      </c>
      <c r="F36" s="74" t="n">
        <v>4</v>
      </c>
      <c r="G36" s="75" t="s">
        <v>128</v>
      </c>
      <c r="H36" s="75" t="s">
        <v>193</v>
      </c>
      <c r="I36" s="74" t="n">
        <v>6</v>
      </c>
    </row>
    <row r="37" customFormat="false" ht="15" hidden="false" customHeight="false" outlineLevel="0" collapsed="false">
      <c r="A37" s="70" t="n">
        <v>35</v>
      </c>
      <c r="B37" s="70" t="n">
        <v>2</v>
      </c>
      <c r="C37" s="73" t="str">
        <f aca="false">_xlfn.CONCAT(E37,". ",D37," ",G37," (",I37,")")</f>
        <v>3. AAV Guionismo II (4)</v>
      </c>
      <c r="D37" s="74" t="s">
        <v>166</v>
      </c>
      <c r="E37" s="74" t="n">
        <v>3</v>
      </c>
      <c r="F37" s="74" t="n">
        <v>5</v>
      </c>
      <c r="G37" s="75" t="s">
        <v>194</v>
      </c>
      <c r="H37" s="75" t="s">
        <v>195</v>
      </c>
      <c r="I37" s="74" t="n">
        <v>4</v>
      </c>
    </row>
    <row r="38" customFormat="false" ht="15" hidden="false" customHeight="false" outlineLevel="0" collapsed="false">
      <c r="A38" s="70" t="n">
        <v>36</v>
      </c>
      <c r="B38" s="70" t="n">
        <v>2</v>
      </c>
      <c r="C38" s="73" t="str">
        <f aca="false">_xlfn.CONCAT(E38,". ",D38," ",G38," (",I38,")")</f>
        <v>5. AAV Gráficos Animados (5)</v>
      </c>
      <c r="D38" s="74" t="s">
        <v>166</v>
      </c>
      <c r="E38" s="74" t="n">
        <v>5</v>
      </c>
      <c r="F38" s="74" t="n">
        <v>1</v>
      </c>
      <c r="G38" s="75" t="s">
        <v>196</v>
      </c>
      <c r="H38" s="75" t="s">
        <v>197</v>
      </c>
      <c r="I38" s="74" t="n">
        <v>5</v>
      </c>
    </row>
    <row r="39" customFormat="false" ht="15" hidden="false" customHeight="false" outlineLevel="0" collapsed="false">
      <c r="A39" s="70" t="n">
        <v>37</v>
      </c>
      <c r="B39" s="70" t="n">
        <v>2</v>
      </c>
      <c r="C39" s="73" t="str">
        <f aca="false">_xlfn.CONCAT(E39,". ",D39," ",G39," (",I39,")")</f>
        <v>5. AAV Modelado 3D II (Orgánico) (5)</v>
      </c>
      <c r="D39" s="74" t="s">
        <v>166</v>
      </c>
      <c r="E39" s="74" t="n">
        <v>5</v>
      </c>
      <c r="F39" s="74" t="n">
        <v>2</v>
      </c>
      <c r="G39" s="75" t="s">
        <v>198</v>
      </c>
      <c r="H39" s="75" t="s">
        <v>199</v>
      </c>
      <c r="I39" s="74" t="n">
        <v>5</v>
      </c>
    </row>
    <row r="40" customFormat="false" ht="15" hidden="false" customHeight="false" outlineLevel="0" collapsed="false">
      <c r="A40" s="70" t="n">
        <v>38</v>
      </c>
      <c r="B40" s="70" t="n">
        <v>2</v>
      </c>
      <c r="C40" s="73" t="str">
        <f aca="false">_xlfn.CONCAT(E40,". ",D40," ",G40," (",I40,")")</f>
        <v>5. AAV Texturización y Materiales (5)</v>
      </c>
      <c r="D40" s="74" t="s">
        <v>166</v>
      </c>
      <c r="E40" s="74" t="n">
        <v>5</v>
      </c>
      <c r="F40" s="74" t="n">
        <v>3</v>
      </c>
      <c r="G40" s="75" t="s">
        <v>200</v>
      </c>
      <c r="H40" s="75" t="s">
        <v>201</v>
      </c>
      <c r="I40" s="74" t="n">
        <v>5</v>
      </c>
    </row>
    <row r="41" customFormat="false" ht="15" hidden="false" customHeight="false" outlineLevel="0" collapsed="false">
      <c r="A41" s="70" t="n">
        <v>39</v>
      </c>
      <c r="B41" s="70" t="n">
        <v>2</v>
      </c>
      <c r="C41" s="73" t="str">
        <f aca="false">_xlfn.CONCAT(E41,". ",D41," ",G41," (",I41,")")</f>
        <v>5. AAV Programación para Videojuegos II (6)</v>
      </c>
      <c r="D41" s="74" t="s">
        <v>166</v>
      </c>
      <c r="E41" s="74" t="n">
        <v>5</v>
      </c>
      <c r="F41" s="74" t="n">
        <v>4</v>
      </c>
      <c r="G41" s="75" t="s">
        <v>202</v>
      </c>
      <c r="H41" s="75" t="s">
        <v>203</v>
      </c>
      <c r="I41" s="74" t="n">
        <v>6</v>
      </c>
    </row>
    <row r="42" customFormat="false" ht="15" hidden="false" customHeight="false" outlineLevel="0" collapsed="false">
      <c r="A42" s="70" t="n">
        <v>40</v>
      </c>
      <c r="B42" s="70" t="n">
        <v>2</v>
      </c>
      <c r="C42" s="73" t="str">
        <f aca="false">_xlfn.CONCAT(E42,". ",D42," ",G42," (",I42,")")</f>
        <v>5. AAV Semiótica (3)</v>
      </c>
      <c r="D42" s="74" t="s">
        <v>166</v>
      </c>
      <c r="E42" s="74" t="n">
        <v>5</v>
      </c>
      <c r="F42" s="74" t="n">
        <v>5</v>
      </c>
      <c r="G42" s="75" t="s">
        <v>204</v>
      </c>
      <c r="H42" s="75" t="s">
        <v>205</v>
      </c>
      <c r="I42" s="74" t="n">
        <v>3</v>
      </c>
    </row>
    <row r="43" customFormat="false" ht="15" hidden="false" customHeight="false" outlineLevel="0" collapsed="false">
      <c r="A43" s="70" t="n">
        <v>41</v>
      </c>
      <c r="B43" s="70" t="n">
        <v>2</v>
      </c>
      <c r="C43" s="73" t="str">
        <f aca="false">_xlfn.CONCAT(E43,". ",D43," ",G43," (",I43,")")</f>
        <v>6. AAV Animación 2D Digital de Personajes (5)</v>
      </c>
      <c r="D43" s="74" t="s">
        <v>166</v>
      </c>
      <c r="E43" s="74" t="n">
        <v>6</v>
      </c>
      <c r="F43" s="74" t="n">
        <v>1</v>
      </c>
      <c r="G43" s="75" t="s">
        <v>206</v>
      </c>
      <c r="H43" s="75" t="s">
        <v>207</v>
      </c>
      <c r="I43" s="74" t="n">
        <v>5</v>
      </c>
    </row>
    <row r="44" customFormat="false" ht="15" hidden="false" customHeight="false" outlineLevel="0" collapsed="false">
      <c r="A44" s="70" t="n">
        <v>42</v>
      </c>
      <c r="B44" s="70" t="n">
        <v>2</v>
      </c>
      <c r="C44" s="73" t="str">
        <f aca="false">_xlfn.CONCAT(E44,". ",D44," ",G44," (",I44,")")</f>
        <v>6. AAV Animación 3D I (5)</v>
      </c>
      <c r="D44" s="74" t="s">
        <v>166</v>
      </c>
      <c r="E44" s="74" t="n">
        <v>6</v>
      </c>
      <c r="F44" s="74" t="n">
        <v>2</v>
      </c>
      <c r="G44" s="75" t="s">
        <v>208</v>
      </c>
      <c r="H44" s="75" t="s">
        <v>209</v>
      </c>
      <c r="I44" s="74" t="n">
        <v>5</v>
      </c>
    </row>
    <row r="45" customFormat="false" ht="15" hidden="false" customHeight="false" outlineLevel="0" collapsed="false">
      <c r="A45" s="70" t="n">
        <v>43</v>
      </c>
      <c r="B45" s="70" t="n">
        <v>2</v>
      </c>
      <c r="C45" s="73" t="str">
        <f aca="false">_xlfn.CONCAT(E45,". ",D45," ",G45," (",I45,")")</f>
        <v>6. AAV Actuación para Animadores (3)</v>
      </c>
      <c r="D45" s="74" t="s">
        <v>166</v>
      </c>
      <c r="E45" s="74" t="n">
        <v>6</v>
      </c>
      <c r="F45" s="74" t="n">
        <v>3</v>
      </c>
      <c r="G45" s="75" t="s">
        <v>210</v>
      </c>
      <c r="H45" s="75" t="s">
        <v>211</v>
      </c>
      <c r="I45" s="74" t="n">
        <v>3</v>
      </c>
    </row>
    <row r="46" customFormat="false" ht="15" hidden="false" customHeight="false" outlineLevel="0" collapsed="false">
      <c r="A46" s="70" t="n">
        <v>44</v>
      </c>
      <c r="B46" s="70" t="n">
        <v>2</v>
      </c>
      <c r="C46" s="73" t="str">
        <f aca="false">_xlfn.CONCAT(E46,". ",D46," ",G46," (",I46,")")</f>
        <v>6. AAV Diseño de Juegos (6)</v>
      </c>
      <c r="D46" s="74" t="s">
        <v>166</v>
      </c>
      <c r="E46" s="74" t="n">
        <v>6</v>
      </c>
      <c r="F46" s="74" t="n">
        <v>4</v>
      </c>
      <c r="G46" s="75" t="s">
        <v>212</v>
      </c>
      <c r="H46" s="75" t="s">
        <v>213</v>
      </c>
      <c r="I46" s="74" t="n">
        <v>6</v>
      </c>
    </row>
    <row r="47" customFormat="false" ht="15" hidden="false" customHeight="false" outlineLevel="0" collapsed="false">
      <c r="A47" s="70" t="n">
        <v>45</v>
      </c>
      <c r="B47" s="70" t="n">
        <v>2</v>
      </c>
      <c r="C47" s="73" t="str">
        <f aca="false">_xlfn.CONCAT(E47,". ",D47," ",G47," (",I47,")")</f>
        <v>6. AAV Edición Digital Multimedia (6)</v>
      </c>
      <c r="D47" s="74" t="s">
        <v>166</v>
      </c>
      <c r="E47" s="74" t="n">
        <v>6</v>
      </c>
      <c r="F47" s="74" t="n">
        <v>5</v>
      </c>
      <c r="G47" s="75" t="s">
        <v>214</v>
      </c>
      <c r="H47" s="75" t="s">
        <v>215</v>
      </c>
      <c r="I47" s="74" t="n">
        <v>6</v>
      </c>
    </row>
    <row r="48" customFormat="false" ht="15" hidden="false" customHeight="false" outlineLevel="0" collapsed="false">
      <c r="A48" s="70" t="n">
        <v>46</v>
      </c>
      <c r="B48" s="70" t="n">
        <v>2</v>
      </c>
      <c r="C48" s="73" t="str">
        <f aca="false">_xlfn.CONCAT(E48,". ",D48," ",G48," (",I48,")")</f>
        <v>8. AAV Iluminación y Procesamiento de Imágenes 3D (6)</v>
      </c>
      <c r="D48" s="74" t="s">
        <v>166</v>
      </c>
      <c r="E48" s="74" t="n">
        <v>8</v>
      </c>
      <c r="F48" s="74" t="n">
        <v>1</v>
      </c>
      <c r="G48" s="75" t="s">
        <v>216</v>
      </c>
      <c r="H48" s="75" t="s">
        <v>217</v>
      </c>
      <c r="I48" s="74" t="n">
        <v>6</v>
      </c>
    </row>
    <row r="49" customFormat="false" ht="15" hidden="false" customHeight="false" outlineLevel="0" collapsed="false">
      <c r="A49" s="70" t="n">
        <v>47</v>
      </c>
      <c r="B49" s="70" t="n">
        <v>2</v>
      </c>
      <c r="C49" s="73" t="str">
        <f aca="false">_xlfn.CONCAT(E49,". ",D49," ",G49," (",I49,")")</f>
        <v>8. AAV Comercialización de Animación y Videojuegos (3)</v>
      </c>
      <c r="D49" s="74" t="s">
        <v>166</v>
      </c>
      <c r="E49" s="74" t="n">
        <v>8</v>
      </c>
      <c r="F49" s="74" t="n">
        <v>2</v>
      </c>
      <c r="G49" s="75" t="s">
        <v>218</v>
      </c>
      <c r="H49" s="75" t="s">
        <v>219</v>
      </c>
      <c r="I49" s="74" t="n">
        <v>3</v>
      </c>
    </row>
    <row r="50" customFormat="false" ht="15" hidden="false" customHeight="false" outlineLevel="0" collapsed="false">
      <c r="A50" s="70" t="n">
        <v>48</v>
      </c>
      <c r="B50" s="70" t="n">
        <v>2</v>
      </c>
      <c r="C50" s="73" t="str">
        <f aca="false">_xlfn.CONCAT(E50,". ",D50," ",G50," (",I50,")")</f>
        <v>8. AAV La Animación y los Videojuegos en las Nuevas Aplicaciones (3)</v>
      </c>
      <c r="D50" s="74" t="s">
        <v>166</v>
      </c>
      <c r="E50" s="74" t="n">
        <v>8</v>
      </c>
      <c r="F50" s="74" t="n">
        <v>3</v>
      </c>
      <c r="G50" s="75" t="s">
        <v>220</v>
      </c>
      <c r="H50" s="75" t="s">
        <v>221</v>
      </c>
      <c r="I50" s="74" t="n">
        <v>3</v>
      </c>
    </row>
    <row r="51" customFormat="false" ht="15" hidden="false" customHeight="false" outlineLevel="0" collapsed="false">
      <c r="A51" s="70" t="n">
        <v>49</v>
      </c>
      <c r="B51" s="70" t="n">
        <v>2</v>
      </c>
      <c r="C51" s="73" t="str">
        <f aca="false">_xlfn.CONCAT(E51,". ",D51," ",G51," (",I51,")")</f>
        <v>8. AAV Desarrollo de Videojuegos para Móviles (5)</v>
      </c>
      <c r="D51" s="74" t="s">
        <v>166</v>
      </c>
      <c r="E51" s="74" t="n">
        <v>8</v>
      </c>
      <c r="F51" s="74" t="n">
        <v>4</v>
      </c>
      <c r="G51" s="75" t="s">
        <v>222</v>
      </c>
      <c r="H51" s="75" t="s">
        <v>223</v>
      </c>
      <c r="I51" s="74" t="n">
        <v>5</v>
      </c>
    </row>
    <row r="52" customFormat="false" ht="15" hidden="false" customHeight="false" outlineLevel="0" collapsed="false">
      <c r="A52" s="70" t="n">
        <v>50</v>
      </c>
      <c r="B52" s="70" t="n">
        <v>2</v>
      </c>
      <c r="C52" s="73" t="str">
        <f aca="false">_xlfn.CONCAT(E52,". ",D52," ",G52," (",I52,")")</f>
        <v>8. AAV Composición Multimedia (6)</v>
      </c>
      <c r="D52" s="74" t="s">
        <v>166</v>
      </c>
      <c r="E52" s="74" t="n">
        <v>8</v>
      </c>
      <c r="F52" s="74" t="n">
        <v>5</v>
      </c>
      <c r="G52" s="75" t="s">
        <v>224</v>
      </c>
      <c r="H52" s="75" t="s">
        <v>225</v>
      </c>
      <c r="I52" s="74" t="n">
        <v>6</v>
      </c>
    </row>
    <row r="53" customFormat="false" ht="15" hidden="false" customHeight="false" outlineLevel="0" collapsed="false">
      <c r="A53" s="70" t="n">
        <v>51</v>
      </c>
      <c r="B53" s="70" t="n">
        <v>2</v>
      </c>
      <c r="C53" s="73" t="str">
        <f aca="false">_xlfn.CONCAT(E53,". ",D53," ",G53," (",I53,")")</f>
        <v>9. AAV Efectos Visuales (6)</v>
      </c>
      <c r="D53" s="74" t="s">
        <v>166</v>
      </c>
      <c r="E53" s="74" t="n">
        <v>9</v>
      </c>
      <c r="F53" s="74" t="n">
        <v>1</v>
      </c>
      <c r="G53" s="75" t="s">
        <v>226</v>
      </c>
      <c r="H53" s="75" t="s">
        <v>227</v>
      </c>
      <c r="I53" s="74" t="n">
        <v>6</v>
      </c>
    </row>
    <row r="54" customFormat="false" ht="15" hidden="false" customHeight="false" outlineLevel="0" collapsed="false">
      <c r="A54" s="70" t="n">
        <v>52</v>
      </c>
      <c r="B54" s="70" t="n">
        <v>2</v>
      </c>
      <c r="C54" s="73" t="str">
        <f aca="false">_xlfn.CONCAT(E54,". ",D54," ",G54," (",I54,")")</f>
        <v>9. AAV Taller de Arte Interactivo (4)</v>
      </c>
      <c r="D54" s="74" t="s">
        <v>166</v>
      </c>
      <c r="E54" s="74" t="n">
        <v>9</v>
      </c>
      <c r="F54" s="74" t="n">
        <v>2</v>
      </c>
      <c r="G54" s="75" t="s">
        <v>228</v>
      </c>
      <c r="H54" s="75" t="s">
        <v>229</v>
      </c>
      <c r="I54" s="74" t="n">
        <v>4</v>
      </c>
    </row>
    <row r="55" customFormat="false" ht="15" hidden="false" customHeight="false" outlineLevel="0" collapsed="false">
      <c r="A55" s="70" t="n">
        <v>53</v>
      </c>
      <c r="B55" s="70" t="n">
        <v>2</v>
      </c>
      <c r="C55" s="73" t="str">
        <f aca="false">_xlfn.CONCAT(E55,". ",D55," ",G55," (",I55,")")</f>
        <v>9. AAV Realidad Virtual y Aumentada (6)</v>
      </c>
      <c r="D55" s="74" t="s">
        <v>166</v>
      </c>
      <c r="E55" s="74" t="n">
        <v>9</v>
      </c>
      <c r="F55" s="74" t="n">
        <v>3</v>
      </c>
      <c r="G55" s="75" t="s">
        <v>230</v>
      </c>
      <c r="H55" s="75" t="s">
        <v>231</v>
      </c>
      <c r="I55" s="74" t="n">
        <v>6</v>
      </c>
    </row>
    <row r="56" customFormat="false" ht="15" hidden="false" customHeight="false" outlineLevel="0" collapsed="false">
      <c r="A56" s="70" t="n">
        <v>54</v>
      </c>
      <c r="B56" s="70" t="n">
        <v>2</v>
      </c>
      <c r="C56" s="73" t="str">
        <f aca="false">_xlfn.CONCAT(E56,". ",D56," ",G56," (",I56,")")</f>
        <v>9. AAV Marco Legal de la Animación y los Videojuegos (3)</v>
      </c>
      <c r="D56" s="74" t="s">
        <v>166</v>
      </c>
      <c r="E56" s="74" t="n">
        <v>9</v>
      </c>
      <c r="F56" s="74" t="n">
        <v>4</v>
      </c>
      <c r="G56" s="75" t="s">
        <v>232</v>
      </c>
      <c r="H56" s="75" t="s">
        <v>233</v>
      </c>
      <c r="I56" s="74" t="n">
        <v>3</v>
      </c>
    </row>
    <row r="57" customFormat="false" ht="15" hidden="false" customHeight="false" outlineLevel="0" collapsed="false">
      <c r="A57" s="70" t="n">
        <v>55</v>
      </c>
      <c r="B57" s="70" t="n">
        <v>2</v>
      </c>
      <c r="C57" s="73" t="str">
        <f aca="false">_xlfn.CONCAT(E57,". ",D57," ",G57," (",I57,")")</f>
        <v>9. AAV Taller Integral de Animación y Videojuegos (6)</v>
      </c>
      <c r="D57" s="74" t="s">
        <v>166</v>
      </c>
      <c r="E57" s="74" t="n">
        <v>9</v>
      </c>
      <c r="F57" s="74" t="n">
        <v>5</v>
      </c>
      <c r="G57" s="75" t="s">
        <v>234</v>
      </c>
      <c r="H57" s="75" t="s">
        <v>235</v>
      </c>
      <c r="I57" s="74" t="n">
        <v>6</v>
      </c>
    </row>
    <row r="58" customFormat="false" ht="15" hidden="false" customHeight="false" outlineLevel="0" collapsed="false">
      <c r="A58" s="70" t="n">
        <v>56</v>
      </c>
      <c r="B58" s="70" t="n">
        <v>4</v>
      </c>
      <c r="C58" s="73" t="str">
        <f aca="false">_xlfn.CONCAT(E58,". ",D58," ",G58," (",I58,")")</f>
        <v>1. CCD Introducción a la Comunicación (4)</v>
      </c>
      <c r="D58" s="70" t="s">
        <v>236</v>
      </c>
      <c r="E58" s="70" t="n">
        <v>1</v>
      </c>
      <c r="F58" s="70" t="n">
        <v>1</v>
      </c>
      <c r="G58" s="73" t="s">
        <v>237</v>
      </c>
      <c r="H58" s="73" t="s">
        <v>238</v>
      </c>
      <c r="I58" s="70" t="n">
        <v>4</v>
      </c>
    </row>
    <row r="59" customFormat="false" ht="15" hidden="false" customHeight="false" outlineLevel="0" collapsed="false">
      <c r="A59" s="70" t="n">
        <v>57</v>
      </c>
      <c r="B59" s="70" t="n">
        <v>4</v>
      </c>
      <c r="C59" s="73" t="str">
        <f aca="false">_xlfn.CONCAT(E59,". ",D59," ",G59," (",I59,")")</f>
        <v>1. CCD Historia y Cultura de México (3)</v>
      </c>
      <c r="D59" s="70" t="s">
        <v>236</v>
      </c>
      <c r="E59" s="70" t="n">
        <v>1</v>
      </c>
      <c r="F59" s="70" t="n">
        <v>2</v>
      </c>
      <c r="G59" s="73" t="s">
        <v>239</v>
      </c>
      <c r="H59" s="73" t="s">
        <v>240</v>
      </c>
      <c r="I59" s="70" t="n">
        <v>3</v>
      </c>
    </row>
    <row r="60" customFormat="false" ht="15" hidden="false" customHeight="false" outlineLevel="0" collapsed="false">
      <c r="A60" s="70" t="n">
        <v>58</v>
      </c>
      <c r="B60" s="70" t="n">
        <v>4</v>
      </c>
      <c r="C60" s="73" t="str">
        <f aca="false">_xlfn.CONCAT(E60,". ",D60," ",G60," (",I60,")")</f>
        <v>1. CCD Tecnologías y Gestión de la Información (4)</v>
      </c>
      <c r="D60" s="70" t="s">
        <v>236</v>
      </c>
      <c r="E60" s="70" t="n">
        <v>1</v>
      </c>
      <c r="F60" s="70" t="n">
        <v>3</v>
      </c>
      <c r="G60" s="73" t="s">
        <v>241</v>
      </c>
      <c r="H60" s="73" t="s">
        <v>242</v>
      </c>
      <c r="I60" s="70" t="n">
        <v>4</v>
      </c>
    </row>
    <row r="61" customFormat="false" ht="15" hidden="false" customHeight="false" outlineLevel="0" collapsed="false">
      <c r="A61" s="70" t="n">
        <v>59</v>
      </c>
      <c r="B61" s="70" t="n">
        <v>4</v>
      </c>
      <c r="C61" s="73" t="str">
        <f aca="false">_xlfn.CONCAT(E61,". ",D61," ",G61," (",I61,")")</f>
        <v>1. CCD Taller de Redacción (3)</v>
      </c>
      <c r="D61" s="70" t="s">
        <v>236</v>
      </c>
      <c r="E61" s="70" t="n">
        <v>1</v>
      </c>
      <c r="F61" s="70" t="n">
        <v>4</v>
      </c>
      <c r="G61" s="73" t="s">
        <v>243</v>
      </c>
      <c r="H61" s="73" t="s">
        <v>244</v>
      </c>
      <c r="I61" s="70" t="n">
        <v>3</v>
      </c>
    </row>
    <row r="62" customFormat="false" ht="15" hidden="false" customHeight="false" outlineLevel="0" collapsed="false">
      <c r="A62" s="70" t="n">
        <v>60</v>
      </c>
      <c r="B62" s="70" t="n">
        <v>4</v>
      </c>
      <c r="C62" s="73" t="str">
        <f aca="false">_xlfn.CONCAT(E62,". ",D62," ",G62," (",I62,")")</f>
        <v>1. CCD Comprensión y Análisis de Textos (4)</v>
      </c>
      <c r="D62" s="70" t="s">
        <v>236</v>
      </c>
      <c r="E62" s="70" t="n">
        <v>1</v>
      </c>
      <c r="F62" s="70" t="n">
        <v>5</v>
      </c>
      <c r="G62" s="73" t="s">
        <v>245</v>
      </c>
      <c r="H62" s="73" t="s">
        <v>246</v>
      </c>
      <c r="I62" s="70" t="n">
        <v>4</v>
      </c>
    </row>
    <row r="63" customFormat="false" ht="15" hidden="false" customHeight="false" outlineLevel="0" collapsed="false">
      <c r="A63" s="70" t="n">
        <v>61</v>
      </c>
      <c r="B63" s="70" t="n">
        <v>4</v>
      </c>
      <c r="C63" s="73" t="str">
        <f aca="false">_xlfn.CONCAT(E63,". ",D63," ",G63," (",I63,")")</f>
        <v>2. CCD Medios Digitales (4)</v>
      </c>
      <c r="D63" s="70" t="s">
        <v>236</v>
      </c>
      <c r="E63" s="70" t="n">
        <v>2</v>
      </c>
      <c r="F63" s="70" t="n">
        <v>1</v>
      </c>
      <c r="G63" s="73" t="s">
        <v>247</v>
      </c>
      <c r="H63" s="73" t="s">
        <v>248</v>
      </c>
      <c r="I63" s="70" t="n">
        <v>4</v>
      </c>
    </row>
    <row r="64" customFormat="false" ht="15" hidden="false" customHeight="false" outlineLevel="0" collapsed="false">
      <c r="A64" s="70" t="n">
        <v>62</v>
      </c>
      <c r="B64" s="70" t="n">
        <v>4</v>
      </c>
      <c r="C64" s="73" t="str">
        <f aca="false">_xlfn.CONCAT(E64,". ",D64," ",G64," (",I64,")")</f>
        <v>2. CCD Historia y Cultura Mundial (3)</v>
      </c>
      <c r="D64" s="70" t="s">
        <v>236</v>
      </c>
      <c r="E64" s="70" t="n">
        <v>2</v>
      </c>
      <c r="F64" s="70" t="n">
        <v>2</v>
      </c>
      <c r="G64" s="73" t="s">
        <v>249</v>
      </c>
      <c r="H64" s="73" t="s">
        <v>250</v>
      </c>
      <c r="I64" s="70" t="n">
        <v>3</v>
      </c>
    </row>
    <row r="65" customFormat="false" ht="15" hidden="false" customHeight="false" outlineLevel="0" collapsed="false">
      <c r="A65" s="70" t="n">
        <v>63</v>
      </c>
      <c r="B65" s="70" t="n">
        <v>4</v>
      </c>
      <c r="C65" s="73" t="str">
        <f aca="false">_xlfn.CONCAT(E65,". ",D65," ",G65," (",I65,")")</f>
        <v>2. CCD Psicología Social (4)</v>
      </c>
      <c r="D65" s="70" t="s">
        <v>236</v>
      </c>
      <c r="E65" s="70" t="n">
        <v>2</v>
      </c>
      <c r="F65" s="70" t="n">
        <v>3</v>
      </c>
      <c r="G65" s="73" t="s">
        <v>251</v>
      </c>
      <c r="H65" s="73" t="s">
        <v>252</v>
      </c>
      <c r="I65" s="70" t="n">
        <v>4</v>
      </c>
    </row>
    <row r="66" customFormat="false" ht="15" hidden="false" customHeight="false" outlineLevel="0" collapsed="false">
      <c r="A66" s="70" t="n">
        <v>64</v>
      </c>
      <c r="B66" s="70" t="n">
        <v>4</v>
      </c>
      <c r="C66" s="73" t="str">
        <f aca="false">_xlfn.CONCAT(E66,". ",D66," ",G66," (",I66,")")</f>
        <v>2. CCD Teoría de la Comunicación (4)</v>
      </c>
      <c r="D66" s="70" t="s">
        <v>236</v>
      </c>
      <c r="E66" s="70" t="n">
        <v>2</v>
      </c>
      <c r="F66" s="70" t="n">
        <v>4</v>
      </c>
      <c r="G66" s="73" t="s">
        <v>253</v>
      </c>
      <c r="H66" s="73" t="s">
        <v>254</v>
      </c>
      <c r="I66" s="70" t="n">
        <v>4</v>
      </c>
    </row>
    <row r="67" customFormat="false" ht="15" hidden="false" customHeight="false" outlineLevel="0" collapsed="false">
      <c r="A67" s="70" t="n">
        <v>65</v>
      </c>
      <c r="B67" s="70" t="n">
        <v>4</v>
      </c>
      <c r="C67" s="73" t="str">
        <f aca="false">_xlfn.CONCAT(E67,". ",D67," ",G67," (",I67,")")</f>
        <v>2. CCD Metodología de la Investigación (2)</v>
      </c>
      <c r="D67" s="70" t="s">
        <v>236</v>
      </c>
      <c r="E67" s="70" t="n">
        <v>2</v>
      </c>
      <c r="F67" s="70" t="n">
        <v>5</v>
      </c>
      <c r="G67" s="73" t="s">
        <v>255</v>
      </c>
      <c r="H67" s="73" t="s">
        <v>256</v>
      </c>
      <c r="I67" s="70" t="n">
        <v>2</v>
      </c>
    </row>
    <row r="68" customFormat="false" ht="15" hidden="false" customHeight="false" outlineLevel="0" collapsed="false">
      <c r="A68" s="70" t="n">
        <v>66</v>
      </c>
      <c r="B68" s="70" t="n">
        <v>4</v>
      </c>
      <c r="C68" s="73" t="str">
        <f aca="false">_xlfn.CONCAT(E68,". ",D68," ",G68," (",I68,")")</f>
        <v>4. CCD Estrategias de Comunicación Web 2.0 (4)</v>
      </c>
      <c r="D68" s="70" t="s">
        <v>236</v>
      </c>
      <c r="E68" s="70" t="n">
        <v>4</v>
      </c>
      <c r="F68" s="70" t="n">
        <v>1</v>
      </c>
      <c r="G68" s="73" t="s">
        <v>257</v>
      </c>
      <c r="H68" s="73" t="s">
        <v>258</v>
      </c>
      <c r="I68" s="70" t="n">
        <v>4</v>
      </c>
    </row>
    <row r="69" customFormat="false" ht="15" hidden="false" customHeight="false" outlineLevel="0" collapsed="false">
      <c r="A69" s="70" t="n">
        <v>67</v>
      </c>
      <c r="B69" s="70" t="n">
        <v>4</v>
      </c>
      <c r="C69" s="73" t="str">
        <f aca="false">_xlfn.CONCAT(E69,". ",D69," ",G69," (",I69,")")</f>
        <v>4. CCD Mercadotecnia y Publicidad (3)</v>
      </c>
      <c r="D69" s="70" t="s">
        <v>236</v>
      </c>
      <c r="E69" s="70" t="n">
        <v>4</v>
      </c>
      <c r="F69" s="70" t="n">
        <v>2</v>
      </c>
      <c r="G69" s="73" t="s">
        <v>259</v>
      </c>
      <c r="H69" s="73" t="s">
        <v>260</v>
      </c>
      <c r="I69" s="70" t="n">
        <v>3</v>
      </c>
    </row>
    <row r="70" customFormat="false" ht="15" hidden="false" customHeight="false" outlineLevel="0" collapsed="false">
      <c r="A70" s="70" t="n">
        <v>68</v>
      </c>
      <c r="B70" s="70" t="n">
        <v>4</v>
      </c>
      <c r="C70" s="73" t="str">
        <f aca="false">_xlfn.CONCAT(E70,". ",D70," ",G70," (",I70,")")</f>
        <v>4. CCD Inglés para Comunicación (3)</v>
      </c>
      <c r="D70" s="70" t="s">
        <v>236</v>
      </c>
      <c r="E70" s="70" t="n">
        <v>4</v>
      </c>
      <c r="F70" s="70" t="n">
        <v>3</v>
      </c>
      <c r="G70" s="73" t="s">
        <v>261</v>
      </c>
      <c r="H70" s="73" t="s">
        <v>262</v>
      </c>
      <c r="I70" s="70" t="n">
        <v>3</v>
      </c>
    </row>
    <row r="71" customFormat="false" ht="15" hidden="false" customHeight="false" outlineLevel="0" collapsed="false">
      <c r="A71" s="70" t="n">
        <v>69</v>
      </c>
      <c r="B71" s="70" t="n">
        <v>4</v>
      </c>
      <c r="C71" s="73" t="str">
        <f aca="false">_xlfn.CONCAT(E71,". ",D71," ",G71," (",I71,")")</f>
        <v>4. CCD Periodismo (4)</v>
      </c>
      <c r="D71" s="70" t="s">
        <v>236</v>
      </c>
      <c r="E71" s="70" t="n">
        <v>4</v>
      </c>
      <c r="F71" s="70" t="n">
        <v>4</v>
      </c>
      <c r="G71" s="73" t="s">
        <v>263</v>
      </c>
      <c r="H71" s="73" t="s">
        <v>264</v>
      </c>
      <c r="I71" s="70" t="n">
        <v>4</v>
      </c>
    </row>
    <row r="72" customFormat="false" ht="15" hidden="false" customHeight="false" outlineLevel="0" collapsed="false">
      <c r="A72" s="70" t="n">
        <v>70</v>
      </c>
      <c r="B72" s="70" t="n">
        <v>4</v>
      </c>
      <c r="C72" s="73" t="str">
        <f aca="false">_xlfn.CONCAT(E72,". ",D72," ",G72," (",I72,")")</f>
        <v>4. CCD Guinismo para Contenidos Digitales II (4)</v>
      </c>
      <c r="D72" s="70" t="s">
        <v>236</v>
      </c>
      <c r="E72" s="70" t="n">
        <v>4</v>
      </c>
      <c r="F72" s="70" t="n">
        <v>5</v>
      </c>
      <c r="G72" s="73" t="s">
        <v>265</v>
      </c>
      <c r="H72" s="73" t="s">
        <v>266</v>
      </c>
      <c r="I72" s="70" t="n">
        <v>4</v>
      </c>
    </row>
    <row r="73" customFormat="false" ht="15" hidden="false" customHeight="false" outlineLevel="0" collapsed="false">
      <c r="A73" s="70" t="n">
        <v>71</v>
      </c>
      <c r="B73" s="70" t="n">
        <v>4</v>
      </c>
      <c r="C73" s="73" t="str">
        <f aca="false">_xlfn.CONCAT(E73,". ",D73," ",G73," (",I73,")")</f>
        <v>5. CCD Semiótica (3)</v>
      </c>
      <c r="D73" s="70" t="s">
        <v>236</v>
      </c>
      <c r="E73" s="70" t="n">
        <v>5</v>
      </c>
      <c r="F73" s="70" t="n">
        <v>1</v>
      </c>
      <c r="G73" s="73" t="s">
        <v>204</v>
      </c>
      <c r="H73" s="73" t="s">
        <v>267</v>
      </c>
      <c r="I73" s="70" t="n">
        <v>3</v>
      </c>
    </row>
    <row r="74" customFormat="false" ht="15" hidden="false" customHeight="false" outlineLevel="0" collapsed="false">
      <c r="A74" s="70" t="n">
        <v>72</v>
      </c>
      <c r="B74" s="70" t="n">
        <v>4</v>
      </c>
      <c r="C74" s="73" t="str">
        <f aca="false">_xlfn.CONCAT(E74,". ",D74," ",G74," (",I74,")")</f>
        <v>5. CCD Comunicación Estratégica en Redes Sociales (4)</v>
      </c>
      <c r="D74" s="70" t="s">
        <v>236</v>
      </c>
      <c r="E74" s="70" t="n">
        <v>5</v>
      </c>
      <c r="F74" s="70" t="n">
        <v>2</v>
      </c>
      <c r="G74" s="73" t="s">
        <v>268</v>
      </c>
      <c r="H74" s="73" t="s">
        <v>269</v>
      </c>
      <c r="I74" s="70" t="n">
        <v>4</v>
      </c>
    </row>
    <row r="75" customFormat="false" ht="15" hidden="false" customHeight="false" outlineLevel="0" collapsed="false">
      <c r="A75" s="70" t="n">
        <v>73</v>
      </c>
      <c r="B75" s="70" t="n">
        <v>4</v>
      </c>
      <c r="C75" s="73" t="str">
        <f aca="false">_xlfn.CONCAT(E75,". ",D75," ",G75," (",I75,")")</f>
        <v>5. CCD Locución y Doblaje (4)</v>
      </c>
      <c r="D75" s="70" t="s">
        <v>236</v>
      </c>
      <c r="E75" s="70" t="n">
        <v>5</v>
      </c>
      <c r="F75" s="70" t="n">
        <v>3</v>
      </c>
      <c r="G75" s="73" t="s">
        <v>270</v>
      </c>
      <c r="H75" s="73" t="s">
        <v>271</v>
      </c>
      <c r="I75" s="70" t="n">
        <v>4</v>
      </c>
    </row>
    <row r="76" customFormat="false" ht="15" hidden="false" customHeight="false" outlineLevel="0" collapsed="false">
      <c r="A76" s="70" t="n">
        <v>74</v>
      </c>
      <c r="B76" s="70" t="n">
        <v>4</v>
      </c>
      <c r="C76" s="73" t="str">
        <f aca="false">_xlfn.CONCAT(E76,". ",D76," ",G76," (",I76,")")</f>
        <v>5. CCD Comunicación Organizacional (4)</v>
      </c>
      <c r="D76" s="70" t="s">
        <v>236</v>
      </c>
      <c r="E76" s="70" t="n">
        <v>5</v>
      </c>
      <c r="F76" s="70" t="n">
        <v>4</v>
      </c>
      <c r="G76" s="73" t="s">
        <v>272</v>
      </c>
      <c r="H76" s="73" t="s">
        <v>273</v>
      </c>
      <c r="I76" s="70" t="n">
        <v>4</v>
      </c>
    </row>
    <row r="77" customFormat="false" ht="15" hidden="false" customHeight="false" outlineLevel="0" collapsed="false">
      <c r="A77" s="70" t="n">
        <v>75</v>
      </c>
      <c r="B77" s="70" t="n">
        <v>4</v>
      </c>
      <c r="C77" s="73" t="str">
        <f aca="false">_xlfn.CONCAT(E77,". ",D77," ",G77," (",I77,")")</f>
        <v>5. CCD Fundamentos de Derecho para Contenidos Digitales (3)</v>
      </c>
      <c r="D77" s="70" t="s">
        <v>236</v>
      </c>
      <c r="E77" s="70" t="n">
        <v>5</v>
      </c>
      <c r="F77" s="70" t="n">
        <v>5</v>
      </c>
      <c r="G77" s="73" t="s">
        <v>274</v>
      </c>
      <c r="H77" s="73" t="s">
        <v>275</v>
      </c>
      <c r="I77" s="70" t="n">
        <v>3</v>
      </c>
    </row>
    <row r="78" customFormat="false" ht="15" hidden="false" customHeight="false" outlineLevel="0" collapsed="false">
      <c r="A78" s="70" t="n">
        <v>76</v>
      </c>
      <c r="B78" s="70" t="n">
        <v>4</v>
      </c>
      <c r="C78" s="73" t="str">
        <f aca="false">_xlfn.CONCAT(E78,". ",D78," ",G78," (",I78,")")</f>
        <v>6. CCD Edición Digital Multimedia (4)</v>
      </c>
      <c r="D78" s="70" t="s">
        <v>236</v>
      </c>
      <c r="E78" s="70" t="n">
        <v>6</v>
      </c>
      <c r="F78" s="70" t="n">
        <v>1</v>
      </c>
      <c r="G78" s="73" t="s">
        <v>214</v>
      </c>
      <c r="H78" s="73" t="s">
        <v>276</v>
      </c>
      <c r="I78" s="70" t="n">
        <v>4</v>
      </c>
    </row>
    <row r="79" customFormat="false" ht="15" hidden="false" customHeight="false" outlineLevel="0" collapsed="false">
      <c r="A79" s="70" t="n">
        <v>77</v>
      </c>
      <c r="B79" s="70" t="n">
        <v>4</v>
      </c>
      <c r="C79" s="73" t="str">
        <f aca="false">_xlfn.CONCAT(E79,". ",D79," ",G79," (",I79,")")</f>
        <v>6. CCD Fundamentos y Prácticas de las Relaciones Públicas (3)</v>
      </c>
      <c r="D79" s="70" t="s">
        <v>236</v>
      </c>
      <c r="E79" s="70" t="n">
        <v>6</v>
      </c>
      <c r="F79" s="70" t="n">
        <v>2</v>
      </c>
      <c r="G79" s="73" t="s">
        <v>277</v>
      </c>
      <c r="H79" s="73" t="s">
        <v>278</v>
      </c>
      <c r="I79" s="70" t="n">
        <v>3</v>
      </c>
    </row>
    <row r="80" customFormat="false" ht="15" hidden="false" customHeight="false" outlineLevel="0" collapsed="false">
      <c r="A80" s="70" t="n">
        <v>78</v>
      </c>
      <c r="B80" s="70" t="n">
        <v>4</v>
      </c>
      <c r="C80" s="73" t="str">
        <f aca="false">_xlfn.CONCAT(E80,". ",D80," ",G80," (",I80,")")</f>
        <v>6. CCD Producción Radiofónica (4)</v>
      </c>
      <c r="D80" s="70" t="s">
        <v>236</v>
      </c>
      <c r="E80" s="70" t="n">
        <v>6</v>
      </c>
      <c r="F80" s="70" t="n">
        <v>3</v>
      </c>
      <c r="G80" s="73" t="s">
        <v>279</v>
      </c>
      <c r="H80" s="73" t="s">
        <v>280</v>
      </c>
      <c r="I80" s="70" t="n">
        <v>4</v>
      </c>
    </row>
    <row r="81" customFormat="false" ht="15" hidden="false" customHeight="false" outlineLevel="0" collapsed="false">
      <c r="A81" s="70" t="n">
        <v>79</v>
      </c>
      <c r="B81" s="70" t="n">
        <v>4</v>
      </c>
      <c r="C81" s="73" t="str">
        <f aca="false">_xlfn.CONCAT(E81,". ",D81," ",G81," (",I81,")")</f>
        <v>6. CCD Producción de Televisión (4)</v>
      </c>
      <c r="D81" s="70" t="s">
        <v>236</v>
      </c>
      <c r="E81" s="70" t="n">
        <v>6</v>
      </c>
      <c r="F81" s="70" t="n">
        <v>4</v>
      </c>
      <c r="G81" s="73" t="s">
        <v>281</v>
      </c>
      <c r="H81" s="73" t="s">
        <v>282</v>
      </c>
      <c r="I81" s="70" t="n">
        <v>4</v>
      </c>
    </row>
    <row r="82" customFormat="false" ht="15" hidden="false" customHeight="false" outlineLevel="0" collapsed="false">
      <c r="A82" s="70" t="n">
        <v>80</v>
      </c>
      <c r="B82" s="70" t="n">
        <v>4</v>
      </c>
      <c r="C82" s="73" t="str">
        <f aca="false">_xlfn.CONCAT(E82,". ",D82," ",G82," (",I82,")")</f>
        <v>6. CCD Diseño Web y Mercadotecnia Digital (4)</v>
      </c>
      <c r="D82" s="70" t="s">
        <v>236</v>
      </c>
      <c r="E82" s="70" t="n">
        <v>6</v>
      </c>
      <c r="F82" s="70" t="n">
        <v>5</v>
      </c>
      <c r="G82" s="73" t="s">
        <v>283</v>
      </c>
      <c r="H82" s="73" t="s">
        <v>284</v>
      </c>
      <c r="I82" s="70" t="n">
        <v>4</v>
      </c>
    </row>
    <row r="83" customFormat="false" ht="15" hidden="false" customHeight="false" outlineLevel="0" collapsed="false">
      <c r="A83" s="70" t="n">
        <v>81</v>
      </c>
      <c r="B83" s="70" t="n">
        <v>4</v>
      </c>
      <c r="C83" s="73" t="str">
        <f aca="false">_xlfn.CONCAT(E83,". ",D83," ",G83," (",I83,")")</f>
        <v>8. CCD A Taller de Producción de Contenidos Perodísticos (6)</v>
      </c>
      <c r="D83" s="70" t="s">
        <v>285</v>
      </c>
      <c r="E83" s="70" t="n">
        <v>8</v>
      </c>
      <c r="F83" s="70" t="n">
        <v>1</v>
      </c>
      <c r="G83" s="73" t="s">
        <v>286</v>
      </c>
      <c r="H83" s="73" t="s">
        <v>287</v>
      </c>
      <c r="I83" s="70" t="n">
        <v>6</v>
      </c>
    </row>
    <row r="84" customFormat="false" ht="15" hidden="false" customHeight="false" outlineLevel="0" collapsed="false">
      <c r="A84" s="70" t="n">
        <v>82</v>
      </c>
      <c r="B84" s="70" t="n">
        <v>4</v>
      </c>
      <c r="C84" s="73" t="str">
        <f aca="false">_xlfn.CONCAT(E84,". ",D84," ",G84," (",I84,")")</f>
        <v>8. CCD A Taller de Producción de Contenidos Musicales (6)</v>
      </c>
      <c r="D84" s="70" t="s">
        <v>285</v>
      </c>
      <c r="E84" s="70" t="n">
        <v>8</v>
      </c>
      <c r="F84" s="70" t="n">
        <v>2</v>
      </c>
      <c r="G84" s="73" t="s">
        <v>288</v>
      </c>
      <c r="H84" s="73" t="s">
        <v>289</v>
      </c>
      <c r="I84" s="70" t="n">
        <v>6</v>
      </c>
    </row>
    <row r="85" customFormat="false" ht="15" hidden="false" customHeight="false" outlineLevel="0" collapsed="false">
      <c r="A85" s="70" t="n">
        <v>83</v>
      </c>
      <c r="B85" s="70" t="n">
        <v>4</v>
      </c>
      <c r="C85" s="73" t="str">
        <f aca="false">_xlfn.CONCAT(E85,". ",D85," ",G85," (",I85,")")</f>
        <v>8. CCD A Taller de Producción de Contenidos Deportivos (6)</v>
      </c>
      <c r="D85" s="70" t="s">
        <v>285</v>
      </c>
      <c r="E85" s="70" t="n">
        <v>8</v>
      </c>
      <c r="F85" s="70" t="n">
        <v>3</v>
      </c>
      <c r="G85" s="73" t="s">
        <v>290</v>
      </c>
      <c r="H85" s="73" t="s">
        <v>291</v>
      </c>
      <c r="I85" s="70" t="n">
        <v>6</v>
      </c>
    </row>
    <row r="86" customFormat="false" ht="15" hidden="false" customHeight="false" outlineLevel="0" collapsed="false">
      <c r="A86" s="70" t="n">
        <v>84</v>
      </c>
      <c r="B86" s="70" t="n">
        <v>4</v>
      </c>
      <c r="C86" s="73" t="str">
        <f aca="false">_xlfn.CONCAT(E86,". ",D86," ",G86," (",I86,")")</f>
        <v>8. CCD A Nuevos Medios (3)</v>
      </c>
      <c r="D86" s="70" t="s">
        <v>285</v>
      </c>
      <c r="E86" s="70" t="n">
        <v>8</v>
      </c>
      <c r="F86" s="70" t="n">
        <v>4</v>
      </c>
      <c r="G86" s="73" t="s">
        <v>292</v>
      </c>
      <c r="H86" s="73" t="s">
        <v>293</v>
      </c>
      <c r="I86" s="70" t="n">
        <v>3</v>
      </c>
    </row>
    <row r="87" customFormat="false" ht="15" hidden="false" customHeight="false" outlineLevel="0" collapsed="false">
      <c r="A87" s="70" t="n">
        <v>85</v>
      </c>
      <c r="B87" s="70" t="n">
        <v>4</v>
      </c>
      <c r="C87" s="73" t="str">
        <f aca="false">_xlfn.CONCAT(E87,". ",D87," ",G87," (",I87,")")</f>
        <v>8. CCD A Emprendedurismo (2)</v>
      </c>
      <c r="D87" s="70" t="s">
        <v>285</v>
      </c>
      <c r="E87" s="70" t="n">
        <v>8</v>
      </c>
      <c r="F87" s="70" t="n">
        <v>5</v>
      </c>
      <c r="G87" s="73" t="s">
        <v>294</v>
      </c>
      <c r="H87" s="73" t="s">
        <v>295</v>
      </c>
      <c r="I87" s="70" t="n">
        <v>2</v>
      </c>
    </row>
    <row r="88" customFormat="false" ht="15" hidden="false" customHeight="false" outlineLevel="0" collapsed="false">
      <c r="A88" s="70" t="n">
        <v>86</v>
      </c>
      <c r="B88" s="70" t="n">
        <v>4</v>
      </c>
      <c r="C88" s="73" t="str">
        <f aca="false">_xlfn.CONCAT(E88,". ",D88," ",G88," (",I88,")")</f>
        <v>8. CCD B Taller de Producción de Contenidos Perodísticos (6)</v>
      </c>
      <c r="D88" s="70" t="s">
        <v>296</v>
      </c>
      <c r="E88" s="70" t="n">
        <v>8</v>
      </c>
      <c r="F88" s="70" t="n">
        <v>1</v>
      </c>
      <c r="G88" s="73" t="s">
        <v>286</v>
      </c>
      <c r="H88" s="73" t="s">
        <v>297</v>
      </c>
      <c r="I88" s="70" t="n">
        <v>6</v>
      </c>
    </row>
    <row r="89" customFormat="false" ht="15" hidden="false" customHeight="false" outlineLevel="0" collapsed="false">
      <c r="A89" s="70" t="n">
        <v>87</v>
      </c>
      <c r="B89" s="70" t="n">
        <v>4</v>
      </c>
      <c r="C89" s="73" t="str">
        <f aca="false">_xlfn.CONCAT(E89,". ",D89," ",G89," (",I89,")")</f>
        <v>8. CCD B Taller de Producción de Contenidos Musicales (6)</v>
      </c>
      <c r="D89" s="70" t="s">
        <v>296</v>
      </c>
      <c r="E89" s="70" t="n">
        <v>8</v>
      </c>
      <c r="F89" s="70" t="n">
        <v>2</v>
      </c>
      <c r="G89" s="73" t="s">
        <v>288</v>
      </c>
      <c r="H89" s="73" t="s">
        <v>298</v>
      </c>
      <c r="I89" s="70" t="n">
        <v>6</v>
      </c>
    </row>
    <row r="90" customFormat="false" ht="15" hidden="false" customHeight="false" outlineLevel="0" collapsed="false">
      <c r="A90" s="70" t="n">
        <v>88</v>
      </c>
      <c r="B90" s="70" t="n">
        <v>4</v>
      </c>
      <c r="C90" s="73" t="str">
        <f aca="false">_xlfn.CONCAT(E90,". ",D90," ",G90," (",I90,")")</f>
        <v>8. CCD B Taller de Producción de Contenidos Deportivos (6)</v>
      </c>
      <c r="D90" s="70" t="s">
        <v>296</v>
      </c>
      <c r="E90" s="70" t="n">
        <v>8</v>
      </c>
      <c r="F90" s="70" t="n">
        <v>3</v>
      </c>
      <c r="G90" s="73" t="s">
        <v>290</v>
      </c>
      <c r="H90" s="73" t="s">
        <v>299</v>
      </c>
      <c r="I90" s="70" t="n">
        <v>6</v>
      </c>
    </row>
    <row r="91" customFormat="false" ht="15" hidden="false" customHeight="false" outlineLevel="0" collapsed="false">
      <c r="A91" s="70" t="n">
        <v>89</v>
      </c>
      <c r="B91" s="70" t="n">
        <v>4</v>
      </c>
      <c r="C91" s="73" t="str">
        <f aca="false">_xlfn.CONCAT(E91,". ",D91," ",G91," (",I91,")")</f>
        <v>8. CCD B Nuevos Medios (3)</v>
      </c>
      <c r="D91" s="70" t="s">
        <v>296</v>
      </c>
      <c r="E91" s="70" t="n">
        <v>8</v>
      </c>
      <c r="F91" s="70" t="n">
        <v>4</v>
      </c>
      <c r="G91" s="73" t="s">
        <v>292</v>
      </c>
      <c r="H91" s="73" t="s">
        <v>300</v>
      </c>
      <c r="I91" s="70" t="n">
        <v>3</v>
      </c>
    </row>
    <row r="92" customFormat="false" ht="15" hidden="false" customHeight="false" outlineLevel="0" collapsed="false">
      <c r="A92" s="70" t="n">
        <v>90</v>
      </c>
      <c r="B92" s="70" t="n">
        <v>4</v>
      </c>
      <c r="C92" s="73" t="str">
        <f aca="false">_xlfn.CONCAT(E92,". ",D92," ",G92," (",I92,")")</f>
        <v>8. CCD B Emprendedurismo (2)</v>
      </c>
      <c r="D92" s="70" t="s">
        <v>296</v>
      </c>
      <c r="E92" s="70" t="n">
        <v>8</v>
      </c>
      <c r="F92" s="70" t="n">
        <v>5</v>
      </c>
      <c r="G92" s="73" t="s">
        <v>294</v>
      </c>
      <c r="H92" s="73" t="s">
        <v>301</v>
      </c>
      <c r="I92" s="70" t="n">
        <v>2</v>
      </c>
    </row>
    <row r="93" customFormat="false" ht="15" hidden="false" customHeight="false" outlineLevel="0" collapsed="false">
      <c r="A93" s="70" t="n">
        <v>91</v>
      </c>
      <c r="B93" s="70" t="n">
        <v>4</v>
      </c>
      <c r="C93" s="73" t="str">
        <f aca="false">_xlfn.CONCAT(E93,". ",D93," ",G93," (",I93,")")</f>
        <v>9. CCD Taller de Producción de Contenidos de Entretenimiento (6)</v>
      </c>
      <c r="D93" s="70" t="s">
        <v>236</v>
      </c>
      <c r="E93" s="70" t="n">
        <v>9</v>
      </c>
      <c r="F93" s="70" t="n">
        <v>1</v>
      </c>
      <c r="G93" s="73" t="s">
        <v>302</v>
      </c>
      <c r="H93" s="73" t="s">
        <v>303</v>
      </c>
      <c r="I93" s="70" t="n">
        <v>6</v>
      </c>
    </row>
    <row r="94" customFormat="false" ht="15" hidden="false" customHeight="false" outlineLevel="0" collapsed="false">
      <c r="A94" s="70" t="n">
        <v>92</v>
      </c>
      <c r="B94" s="70" t="n">
        <v>4</v>
      </c>
      <c r="C94" s="73" t="str">
        <f aca="false">_xlfn.CONCAT(E94,". ",D94," ",G94," (",I94,")")</f>
        <v>9. CCD Taller de Producción de Contenidos Culturales (6)</v>
      </c>
      <c r="D94" s="70" t="s">
        <v>236</v>
      </c>
      <c r="E94" s="70" t="n">
        <v>9</v>
      </c>
      <c r="F94" s="70" t="n">
        <v>2</v>
      </c>
      <c r="G94" s="73" t="s">
        <v>304</v>
      </c>
      <c r="H94" s="73" t="s">
        <v>305</v>
      </c>
      <c r="I94" s="70" t="n">
        <v>6</v>
      </c>
    </row>
    <row r="95" customFormat="false" ht="15" hidden="false" customHeight="false" outlineLevel="0" collapsed="false">
      <c r="A95" s="70" t="n">
        <v>93</v>
      </c>
      <c r="B95" s="70" t="n">
        <v>4</v>
      </c>
      <c r="C95" s="73" t="str">
        <f aca="false">_xlfn.CONCAT(E95,". ",D95," ",G95," (",I95,")")</f>
        <v>9. CCD Nuevos Públicos y Audiencias (3)</v>
      </c>
      <c r="D95" s="70" t="s">
        <v>236</v>
      </c>
      <c r="E95" s="70" t="n">
        <v>9</v>
      </c>
      <c r="F95" s="70" t="n">
        <v>3</v>
      </c>
      <c r="G95" s="73" t="s">
        <v>306</v>
      </c>
      <c r="H95" s="73" t="s">
        <v>307</v>
      </c>
      <c r="I95" s="70" t="n">
        <v>3</v>
      </c>
    </row>
    <row r="96" customFormat="false" ht="15" hidden="false" customHeight="false" outlineLevel="0" collapsed="false">
      <c r="A96" s="70" t="n">
        <v>94</v>
      </c>
      <c r="B96" s="70" t="n">
        <v>4</v>
      </c>
      <c r="C96" s="73" t="str">
        <f aca="false">_xlfn.CONCAT(E96,". ",D96," ",G96," (",I96,")")</f>
        <v>9. CCD Multimedia Digital (3)</v>
      </c>
      <c r="D96" s="70" t="s">
        <v>236</v>
      </c>
      <c r="E96" s="70" t="n">
        <v>9</v>
      </c>
      <c r="F96" s="70" t="n">
        <v>4</v>
      </c>
      <c r="G96" s="73" t="s">
        <v>308</v>
      </c>
      <c r="H96" s="73" t="s">
        <v>309</v>
      </c>
      <c r="I96" s="70" t="n">
        <v>3</v>
      </c>
    </row>
    <row r="97" customFormat="false" ht="15" hidden="false" customHeight="false" outlineLevel="0" collapsed="false">
      <c r="A97" s="70" t="n">
        <v>95</v>
      </c>
      <c r="B97" s="70" t="n">
        <v>4</v>
      </c>
      <c r="C97" s="73" t="str">
        <f aca="false">_xlfn.CONCAT(E97,". ",D97," ",G97," (",I97,")")</f>
        <v>9. CCD Taller Intregal de Comunicación (6)</v>
      </c>
      <c r="D97" s="70" t="s">
        <v>236</v>
      </c>
      <c r="E97" s="70" t="n">
        <v>9</v>
      </c>
      <c r="F97" s="70" t="n">
        <v>5</v>
      </c>
      <c r="G97" s="73" t="s">
        <v>310</v>
      </c>
      <c r="H97" s="73" t="s">
        <v>311</v>
      </c>
      <c r="I97" s="70" t="n">
        <v>6</v>
      </c>
    </row>
    <row r="98" customFormat="false" ht="15" hidden="false" customHeight="false" outlineLevel="0" collapsed="false">
      <c r="A98" s="70" t="n">
        <v>96</v>
      </c>
      <c r="B98" s="70" t="n">
        <v>5</v>
      </c>
      <c r="C98" s="73" t="str">
        <f aca="false">_xlfn.CONCAT(E98,". ",D98," ",G98," (",I98,")")</f>
        <v>1. DAM Fundamentos del Diseño (4)</v>
      </c>
      <c r="D98" s="70" t="s">
        <v>312</v>
      </c>
      <c r="E98" s="70" t="n">
        <v>1</v>
      </c>
      <c r="F98" s="70" t="n">
        <v>1</v>
      </c>
      <c r="G98" s="73" t="s">
        <v>171</v>
      </c>
      <c r="H98" s="73" t="s">
        <v>313</v>
      </c>
      <c r="I98" s="70" t="n">
        <v>4</v>
      </c>
    </row>
    <row r="99" customFormat="false" ht="15" hidden="false" customHeight="false" outlineLevel="0" collapsed="false">
      <c r="A99" s="70" t="n">
        <v>97</v>
      </c>
      <c r="B99" s="70" t="n">
        <v>5</v>
      </c>
      <c r="C99" s="73" t="str">
        <f aca="false">_xlfn.CONCAT(E99,". ",D99," ",G99," (",I99,")")</f>
        <v>1. DAM Historia del Arte (4)</v>
      </c>
      <c r="D99" s="70" t="s">
        <v>312</v>
      </c>
      <c r="E99" s="70" t="n">
        <v>1</v>
      </c>
      <c r="F99" s="70" t="n">
        <v>2</v>
      </c>
      <c r="G99" s="73" t="s">
        <v>314</v>
      </c>
      <c r="H99" s="73" t="s">
        <v>315</v>
      </c>
      <c r="I99" s="70" t="n">
        <v>4</v>
      </c>
    </row>
    <row r="100" customFormat="false" ht="15" hidden="false" customHeight="false" outlineLevel="0" collapsed="false">
      <c r="A100" s="70" t="n">
        <v>98</v>
      </c>
      <c r="B100" s="70" t="n">
        <v>5</v>
      </c>
      <c r="C100" s="73" t="str">
        <f aca="false">_xlfn.CONCAT(E100,". ",D100," ",G100," (",I100,")")</f>
        <v>1. DAM Dibujo I Geométrico (6)</v>
      </c>
      <c r="D100" s="70" t="s">
        <v>312</v>
      </c>
      <c r="E100" s="70" t="n">
        <v>1</v>
      </c>
      <c r="F100" s="70" t="n">
        <v>3</v>
      </c>
      <c r="G100" s="73" t="s">
        <v>316</v>
      </c>
      <c r="H100" s="73" t="s">
        <v>317</v>
      </c>
      <c r="I100" s="70" t="n">
        <v>6</v>
      </c>
    </row>
    <row r="101" customFormat="false" ht="15" hidden="false" customHeight="false" outlineLevel="0" collapsed="false">
      <c r="A101" s="70" t="n">
        <v>99</v>
      </c>
      <c r="B101" s="70" t="n">
        <v>5</v>
      </c>
      <c r="C101" s="73" t="str">
        <f aca="false">_xlfn.CONCAT(E101,". ",D101," ",G101," (",I101,")")</f>
        <v>1. DAM Metodología del Diseño (4)</v>
      </c>
      <c r="D101" s="70" t="s">
        <v>312</v>
      </c>
      <c r="E101" s="70" t="n">
        <v>1</v>
      </c>
      <c r="F101" s="70" t="n">
        <v>4</v>
      </c>
      <c r="G101" s="73" t="s">
        <v>318</v>
      </c>
      <c r="H101" s="73" t="s">
        <v>319</v>
      </c>
      <c r="I101" s="70" t="n">
        <v>4</v>
      </c>
    </row>
    <row r="102" customFormat="false" ht="15" hidden="false" customHeight="false" outlineLevel="0" collapsed="false">
      <c r="A102" s="70" t="n">
        <v>100</v>
      </c>
      <c r="B102" s="70" t="n">
        <v>5</v>
      </c>
      <c r="C102" s="73" t="str">
        <f aca="false">_xlfn.CONCAT(E102,". ",D102," ",G102," (",I102,")")</f>
        <v>1. DAM Ilustración Digital (4)</v>
      </c>
      <c r="D102" s="70" t="s">
        <v>312</v>
      </c>
      <c r="E102" s="70" t="n">
        <v>1</v>
      </c>
      <c r="F102" s="70" t="n">
        <v>5</v>
      </c>
      <c r="G102" s="73" t="s">
        <v>181</v>
      </c>
      <c r="H102" s="73" t="s">
        <v>320</v>
      </c>
      <c r="I102" s="70" t="n">
        <v>4</v>
      </c>
    </row>
    <row r="103" customFormat="false" ht="15" hidden="false" customHeight="false" outlineLevel="0" collapsed="false">
      <c r="A103" s="70" t="n">
        <v>101</v>
      </c>
      <c r="B103" s="70" t="n">
        <v>5</v>
      </c>
      <c r="C103" s="73" t="str">
        <f aca="false">_xlfn.CONCAT(E103,". ",D103," ",G103," (",I103,")")</f>
        <v>2. DAM A Fundamentos de Composición (4)</v>
      </c>
      <c r="D103" s="70" t="s">
        <v>321</v>
      </c>
      <c r="E103" s="70" t="n">
        <v>2</v>
      </c>
      <c r="F103" s="70" t="n">
        <v>1</v>
      </c>
      <c r="G103" s="73" t="s">
        <v>322</v>
      </c>
      <c r="H103" s="73" t="s">
        <v>323</v>
      </c>
      <c r="I103" s="70" t="n">
        <v>4</v>
      </c>
    </row>
    <row r="104" customFormat="false" ht="15" hidden="false" customHeight="false" outlineLevel="0" collapsed="false">
      <c r="A104" s="70" t="n">
        <v>102</v>
      </c>
      <c r="B104" s="70" t="n">
        <v>5</v>
      </c>
      <c r="C104" s="73" t="str">
        <f aca="false">_xlfn.CONCAT(E104,". ",D104," ",G104," (",I104,")")</f>
        <v>2. DAM A Historia del Arte en México (4)</v>
      </c>
      <c r="D104" s="70" t="s">
        <v>321</v>
      </c>
      <c r="E104" s="70" t="n">
        <v>2</v>
      </c>
      <c r="F104" s="70" t="n">
        <v>2</v>
      </c>
      <c r="G104" s="73" t="s">
        <v>324</v>
      </c>
      <c r="H104" s="73" t="s">
        <v>325</v>
      </c>
      <c r="I104" s="70" t="n">
        <v>4</v>
      </c>
    </row>
    <row r="105" customFormat="false" ht="15" hidden="false" customHeight="false" outlineLevel="0" collapsed="false">
      <c r="A105" s="70" t="n">
        <v>103</v>
      </c>
      <c r="B105" s="70" t="n">
        <v>5</v>
      </c>
      <c r="C105" s="73" t="str">
        <f aca="false">_xlfn.CONCAT(E105,". ",D105," ",G105," (",I105,")")</f>
        <v>2. DAM A Dibujo II Natural (6)</v>
      </c>
      <c r="D105" s="70" t="s">
        <v>321</v>
      </c>
      <c r="E105" s="70" t="n">
        <v>2</v>
      </c>
      <c r="F105" s="70" t="n">
        <v>3</v>
      </c>
      <c r="G105" s="73" t="s">
        <v>326</v>
      </c>
      <c r="H105" s="73" t="s">
        <v>327</v>
      </c>
      <c r="I105" s="70" t="n">
        <v>6</v>
      </c>
    </row>
    <row r="106" customFormat="false" ht="15" hidden="false" customHeight="false" outlineLevel="0" collapsed="false">
      <c r="A106" s="70" t="n">
        <v>104</v>
      </c>
      <c r="B106" s="70" t="n">
        <v>5</v>
      </c>
      <c r="C106" s="73" t="str">
        <f aca="false">_xlfn.CONCAT(E106,". ",D106," ",G106," (",I106,")")</f>
        <v>2. DAM A Teoría de la Comunicación (3)</v>
      </c>
      <c r="D106" s="70" t="s">
        <v>321</v>
      </c>
      <c r="E106" s="70" t="n">
        <v>2</v>
      </c>
      <c r="F106" s="70" t="n">
        <v>4</v>
      </c>
      <c r="G106" s="73" t="s">
        <v>253</v>
      </c>
      <c r="H106" s="73" t="s">
        <v>328</v>
      </c>
      <c r="I106" s="70" t="n">
        <v>3</v>
      </c>
    </row>
    <row r="107" customFormat="false" ht="15" hidden="false" customHeight="false" outlineLevel="0" collapsed="false">
      <c r="A107" s="70" t="n">
        <v>105</v>
      </c>
      <c r="B107" s="70" t="n">
        <v>5</v>
      </c>
      <c r="C107" s="73" t="str">
        <f aca="false">_xlfn.CONCAT(E107,". ",D107," ",G107," (",I107,")")</f>
        <v>2. DAM A Metodología de la Investigación (2)</v>
      </c>
      <c r="D107" s="70" t="s">
        <v>321</v>
      </c>
      <c r="E107" s="70" t="n">
        <v>2</v>
      </c>
      <c r="F107" s="70" t="n">
        <v>5</v>
      </c>
      <c r="G107" s="73" t="s">
        <v>255</v>
      </c>
      <c r="H107" s="73" t="s">
        <v>329</v>
      </c>
      <c r="I107" s="70" t="n">
        <v>2</v>
      </c>
    </row>
    <row r="108" customFormat="false" ht="15" hidden="false" customHeight="false" outlineLevel="0" collapsed="false">
      <c r="A108" s="70" t="n">
        <v>106</v>
      </c>
      <c r="B108" s="70" t="n">
        <v>5</v>
      </c>
      <c r="C108" s="73" t="str">
        <f aca="false">_xlfn.CONCAT(E108,". ",D108," ",G108," (",I108,")")</f>
        <v>2. DAM B Fundamentos de Composición (4)</v>
      </c>
      <c r="D108" s="70" t="s">
        <v>330</v>
      </c>
      <c r="E108" s="70" t="n">
        <v>2</v>
      </c>
      <c r="F108" s="70" t="n">
        <v>1</v>
      </c>
      <c r="G108" s="73" t="s">
        <v>322</v>
      </c>
      <c r="H108" s="73" t="s">
        <v>331</v>
      </c>
      <c r="I108" s="70" t="n">
        <v>4</v>
      </c>
    </row>
    <row r="109" customFormat="false" ht="15" hidden="false" customHeight="false" outlineLevel="0" collapsed="false">
      <c r="A109" s="70" t="n">
        <v>107</v>
      </c>
      <c r="B109" s="70" t="n">
        <v>5</v>
      </c>
      <c r="C109" s="73" t="str">
        <f aca="false">_xlfn.CONCAT(E109,". ",D109," ",G109," (",I109,")")</f>
        <v>2. DAM B Historia del Arte en México (4)</v>
      </c>
      <c r="D109" s="70" t="s">
        <v>330</v>
      </c>
      <c r="E109" s="70" t="n">
        <v>2</v>
      </c>
      <c r="F109" s="70" t="n">
        <v>2</v>
      </c>
      <c r="G109" s="73" t="s">
        <v>324</v>
      </c>
      <c r="H109" s="73" t="s">
        <v>332</v>
      </c>
      <c r="I109" s="70" t="n">
        <v>4</v>
      </c>
    </row>
    <row r="110" customFormat="false" ht="15" hidden="false" customHeight="false" outlineLevel="0" collapsed="false">
      <c r="A110" s="70" t="n">
        <v>108</v>
      </c>
      <c r="B110" s="70" t="n">
        <v>5</v>
      </c>
      <c r="C110" s="73" t="str">
        <f aca="false">_xlfn.CONCAT(E110,". ",D110," ",G110," (",I110,")")</f>
        <v>2. DAM B Dibujo II Natural (6)</v>
      </c>
      <c r="D110" s="70" t="s">
        <v>330</v>
      </c>
      <c r="E110" s="70" t="n">
        <v>2</v>
      </c>
      <c r="F110" s="70" t="n">
        <v>3</v>
      </c>
      <c r="G110" s="73" t="s">
        <v>326</v>
      </c>
      <c r="H110" s="73" t="s">
        <v>333</v>
      </c>
      <c r="I110" s="70" t="n">
        <v>6</v>
      </c>
    </row>
    <row r="111" customFormat="false" ht="15" hidden="false" customHeight="false" outlineLevel="0" collapsed="false">
      <c r="A111" s="70" t="n">
        <v>109</v>
      </c>
      <c r="B111" s="70" t="n">
        <v>5</v>
      </c>
      <c r="C111" s="73" t="str">
        <f aca="false">_xlfn.CONCAT(E111,". ",D111," ",G111," (",I111,")")</f>
        <v>2. DAM B Teoría de la Comunicación (3)</v>
      </c>
      <c r="D111" s="70" t="s">
        <v>330</v>
      </c>
      <c r="E111" s="70" t="n">
        <v>2</v>
      </c>
      <c r="F111" s="70" t="n">
        <v>4</v>
      </c>
      <c r="G111" s="73" t="s">
        <v>253</v>
      </c>
      <c r="H111" s="73" t="s">
        <v>334</v>
      </c>
      <c r="I111" s="70" t="n">
        <v>3</v>
      </c>
    </row>
    <row r="112" customFormat="false" ht="15" hidden="false" customHeight="false" outlineLevel="0" collapsed="false">
      <c r="A112" s="70" t="n">
        <v>110</v>
      </c>
      <c r="B112" s="70" t="n">
        <v>5</v>
      </c>
      <c r="C112" s="73" t="str">
        <f aca="false">_xlfn.CONCAT(E112,". ",D112," ",G112," (",I112,")")</f>
        <v>2. DAM B Metodología de la Investigación (2)</v>
      </c>
      <c r="D112" s="70" t="s">
        <v>330</v>
      </c>
      <c r="E112" s="70" t="n">
        <v>2</v>
      </c>
      <c r="F112" s="70" t="n">
        <v>5</v>
      </c>
      <c r="G112" s="73" t="s">
        <v>255</v>
      </c>
      <c r="H112" s="73" t="s">
        <v>335</v>
      </c>
      <c r="I112" s="70" t="n">
        <v>2</v>
      </c>
    </row>
    <row r="113" customFormat="false" ht="15" hidden="false" customHeight="false" outlineLevel="0" collapsed="false">
      <c r="A113" s="70" t="n">
        <v>111</v>
      </c>
      <c r="B113" s="70" t="n">
        <v>5</v>
      </c>
      <c r="C113" s="73" t="str">
        <f aca="false">_xlfn.CONCAT(E113,". ",D113," ",G113," (",I113,")")</f>
        <v>4. DAM Tipografía II Digital (4)</v>
      </c>
      <c r="D113" s="70" t="s">
        <v>312</v>
      </c>
      <c r="E113" s="70" t="n">
        <v>4</v>
      </c>
      <c r="F113" s="70" t="n">
        <v>1</v>
      </c>
      <c r="G113" s="73" t="s">
        <v>336</v>
      </c>
      <c r="H113" s="73" t="s">
        <v>337</v>
      </c>
      <c r="I113" s="70" t="n">
        <v>4</v>
      </c>
    </row>
    <row r="114" customFormat="false" ht="15" hidden="false" customHeight="false" outlineLevel="0" collapsed="false">
      <c r="A114" s="70" t="n">
        <v>112</v>
      </c>
      <c r="B114" s="70" t="n">
        <v>5</v>
      </c>
      <c r="C114" s="73" t="str">
        <f aca="false">_xlfn.CONCAT(E114,". ",D114," ",G114," (",I114,")")</f>
        <v>4. DAM Fundamentos de Derecho para Diseño y Arte (3)</v>
      </c>
      <c r="D114" s="70" t="s">
        <v>312</v>
      </c>
      <c r="E114" s="70" t="n">
        <v>4</v>
      </c>
      <c r="F114" s="70" t="n">
        <v>2</v>
      </c>
      <c r="G114" s="73" t="s">
        <v>338</v>
      </c>
      <c r="H114" s="73" t="s">
        <v>339</v>
      </c>
      <c r="I114" s="70" t="n">
        <v>3</v>
      </c>
    </row>
    <row r="115" customFormat="false" ht="15" hidden="false" customHeight="false" outlineLevel="0" collapsed="false">
      <c r="A115" s="70" t="n">
        <v>113</v>
      </c>
      <c r="B115" s="70" t="n">
        <v>5</v>
      </c>
      <c r="C115" s="73" t="str">
        <f aca="false">_xlfn.CONCAT(E115,". ",D115," ",G115," (",I115,")")</f>
        <v>4. DAM Animación (6)</v>
      </c>
      <c r="D115" s="70" t="s">
        <v>312</v>
      </c>
      <c r="E115" s="70" t="n">
        <v>4</v>
      </c>
      <c r="F115" s="70" t="n">
        <v>3</v>
      </c>
      <c r="G115" s="73" t="s">
        <v>340</v>
      </c>
      <c r="H115" s="73" t="s">
        <v>341</v>
      </c>
      <c r="I115" s="70" t="n">
        <v>6</v>
      </c>
    </row>
    <row r="116" customFormat="false" ht="15" hidden="false" customHeight="false" outlineLevel="0" collapsed="false">
      <c r="A116" s="70" t="n">
        <v>114</v>
      </c>
      <c r="B116" s="70" t="n">
        <v>5</v>
      </c>
      <c r="C116" s="73" t="str">
        <f aca="false">_xlfn.CONCAT(E116,". ",D116," ",G116," (",I116,")")</f>
        <v>4. DAM Mercadotecnia y Publicidad (3)</v>
      </c>
      <c r="D116" s="70" t="s">
        <v>312</v>
      </c>
      <c r="E116" s="70" t="n">
        <v>4</v>
      </c>
      <c r="F116" s="70" t="n">
        <v>4</v>
      </c>
      <c r="G116" s="73" t="s">
        <v>259</v>
      </c>
      <c r="H116" s="73" t="s">
        <v>342</v>
      </c>
      <c r="I116" s="70" t="n">
        <v>3</v>
      </c>
    </row>
    <row r="117" customFormat="false" ht="15" hidden="false" customHeight="false" outlineLevel="0" collapsed="false">
      <c r="A117" s="70" t="n">
        <v>115</v>
      </c>
      <c r="B117" s="70" t="n">
        <v>5</v>
      </c>
      <c r="C117" s="73" t="str">
        <f aca="false">_xlfn.CONCAT(E117,". ",D117," ",G117," (",I117,")")</f>
        <v>4. DAM Fotografía Digital II (6)</v>
      </c>
      <c r="D117" s="70" t="s">
        <v>312</v>
      </c>
      <c r="E117" s="70" t="n">
        <v>4</v>
      </c>
      <c r="F117" s="70" t="n">
        <v>5</v>
      </c>
      <c r="G117" s="73" t="s">
        <v>343</v>
      </c>
      <c r="H117" s="73" t="s">
        <v>344</v>
      </c>
      <c r="I117" s="70" t="n">
        <v>6</v>
      </c>
    </row>
    <row r="118" customFormat="false" ht="15" hidden="false" customHeight="false" outlineLevel="0" collapsed="false">
      <c r="A118" s="70" t="n">
        <v>116</v>
      </c>
      <c r="B118" s="70" t="n">
        <v>5</v>
      </c>
      <c r="C118" s="73" t="str">
        <f aca="false">_xlfn.CONCAT(E118,". ",D118," ",G118," (",I118,")")</f>
        <v>5. DAM A Psicología del Diseño (3)</v>
      </c>
      <c r="D118" s="70" t="s">
        <v>321</v>
      </c>
      <c r="E118" s="70" t="n">
        <v>5</v>
      </c>
      <c r="F118" s="70" t="n">
        <v>1</v>
      </c>
      <c r="G118" s="73" t="s">
        <v>345</v>
      </c>
      <c r="H118" s="73" t="s">
        <v>346</v>
      </c>
      <c r="I118" s="70" t="n">
        <v>3</v>
      </c>
    </row>
    <row r="119" customFormat="false" ht="15" hidden="false" customHeight="false" outlineLevel="0" collapsed="false">
      <c r="A119" s="70" t="n">
        <v>117</v>
      </c>
      <c r="B119" s="70" t="n">
        <v>5</v>
      </c>
      <c r="C119" s="73" t="str">
        <f aca="false">_xlfn.CONCAT(E119,". ",D119," ",G119," (",I119,")")</f>
        <v>5. DAM A Semiótica (3)</v>
      </c>
      <c r="D119" s="70" t="s">
        <v>321</v>
      </c>
      <c r="E119" s="70" t="n">
        <v>5</v>
      </c>
      <c r="F119" s="70" t="n">
        <v>2</v>
      </c>
      <c r="G119" s="73" t="s">
        <v>204</v>
      </c>
      <c r="H119" s="73" t="s">
        <v>347</v>
      </c>
      <c r="I119" s="70" t="n">
        <v>3</v>
      </c>
    </row>
    <row r="120" customFormat="false" ht="15" hidden="false" customHeight="false" outlineLevel="0" collapsed="false">
      <c r="A120" s="70" t="n">
        <v>118</v>
      </c>
      <c r="B120" s="70" t="n">
        <v>5</v>
      </c>
      <c r="C120" s="73" t="str">
        <f aca="false">_xlfn.CONCAT(E120,". ",D120," ",G120," (",I120,")")</f>
        <v>5. DAM A Animación Digital 2D (4)</v>
      </c>
      <c r="D120" s="70" t="s">
        <v>321</v>
      </c>
      <c r="E120" s="70" t="n">
        <v>5</v>
      </c>
      <c r="F120" s="70" t="n">
        <v>3</v>
      </c>
      <c r="G120" s="73" t="s">
        <v>348</v>
      </c>
      <c r="H120" s="73" t="s">
        <v>349</v>
      </c>
      <c r="I120" s="70" t="n">
        <v>4</v>
      </c>
    </row>
    <row r="121" customFormat="false" ht="15" hidden="false" customHeight="false" outlineLevel="0" collapsed="false">
      <c r="A121" s="70" t="n">
        <v>119</v>
      </c>
      <c r="B121" s="70" t="n">
        <v>5</v>
      </c>
      <c r="C121" s="73" t="str">
        <f aca="false">_xlfn.CONCAT(E121,". ",D121," ",G121," (",I121,")")</f>
        <v>5. DAM A Taller de Creación de Marcas (3)</v>
      </c>
      <c r="D121" s="70" t="s">
        <v>321</v>
      </c>
      <c r="E121" s="70" t="n">
        <v>5</v>
      </c>
      <c r="F121" s="70" t="n">
        <v>4</v>
      </c>
      <c r="G121" s="73" t="s">
        <v>350</v>
      </c>
      <c r="H121" s="73" t="s">
        <v>351</v>
      </c>
      <c r="I121" s="70" t="n">
        <v>3</v>
      </c>
    </row>
    <row r="122" customFormat="false" ht="15" hidden="false" customHeight="false" outlineLevel="0" collapsed="false">
      <c r="A122" s="70" t="n">
        <v>120</v>
      </c>
      <c r="B122" s="70" t="n">
        <v>5</v>
      </c>
      <c r="C122" s="73" t="str">
        <f aca="false">_xlfn.CONCAT(E122,". ",D122," ",G122," (",I122,")")</f>
        <v>5. DAM A Fotografía Digital III (6)</v>
      </c>
      <c r="D122" s="70" t="s">
        <v>321</v>
      </c>
      <c r="E122" s="70" t="n">
        <v>5</v>
      </c>
      <c r="F122" s="70" t="n">
        <v>5</v>
      </c>
      <c r="G122" s="73" t="s">
        <v>352</v>
      </c>
      <c r="H122" s="73" t="s">
        <v>353</v>
      </c>
      <c r="I122" s="70" t="n">
        <v>6</v>
      </c>
    </row>
    <row r="123" customFormat="false" ht="15" hidden="false" customHeight="false" outlineLevel="0" collapsed="false">
      <c r="A123" s="70" t="n">
        <v>121</v>
      </c>
      <c r="B123" s="70" t="n">
        <v>5</v>
      </c>
      <c r="C123" s="73" t="str">
        <f aca="false">_xlfn.CONCAT(E123,". ",D123," ",G123," (",I123,")")</f>
        <v>5. DAM B Psicología del Diseño (3)</v>
      </c>
      <c r="D123" s="70" t="s">
        <v>330</v>
      </c>
      <c r="E123" s="70" t="n">
        <v>5</v>
      </c>
      <c r="F123" s="70" t="n">
        <v>1</v>
      </c>
      <c r="G123" s="73" t="s">
        <v>345</v>
      </c>
      <c r="H123" s="73" t="s">
        <v>354</v>
      </c>
      <c r="I123" s="70" t="n">
        <v>3</v>
      </c>
    </row>
    <row r="124" customFormat="false" ht="15" hidden="false" customHeight="false" outlineLevel="0" collapsed="false">
      <c r="A124" s="70" t="n">
        <v>122</v>
      </c>
      <c r="B124" s="70" t="n">
        <v>5</v>
      </c>
      <c r="C124" s="73" t="str">
        <f aca="false">_xlfn.CONCAT(E124,". ",D124," ",G124," (",I124,")")</f>
        <v>5. DAM B Semiótica (3)</v>
      </c>
      <c r="D124" s="70" t="s">
        <v>330</v>
      </c>
      <c r="E124" s="70" t="n">
        <v>5</v>
      </c>
      <c r="F124" s="70" t="n">
        <v>2</v>
      </c>
      <c r="G124" s="73" t="s">
        <v>204</v>
      </c>
      <c r="H124" s="73" t="s">
        <v>355</v>
      </c>
      <c r="I124" s="70" t="n">
        <v>3</v>
      </c>
    </row>
    <row r="125" customFormat="false" ht="15" hidden="false" customHeight="false" outlineLevel="0" collapsed="false">
      <c r="A125" s="70" t="n">
        <v>123</v>
      </c>
      <c r="B125" s="70" t="n">
        <v>5</v>
      </c>
      <c r="C125" s="73" t="str">
        <f aca="false">_xlfn.CONCAT(E125,". ",D125," ",G125," (",I125,")")</f>
        <v>5. DAM B Animación Digital 2D (4)</v>
      </c>
      <c r="D125" s="70" t="s">
        <v>330</v>
      </c>
      <c r="E125" s="70" t="n">
        <v>5</v>
      </c>
      <c r="F125" s="70" t="n">
        <v>3</v>
      </c>
      <c r="G125" s="73" t="s">
        <v>348</v>
      </c>
      <c r="H125" s="73" t="s">
        <v>356</v>
      </c>
      <c r="I125" s="70" t="n">
        <v>4</v>
      </c>
    </row>
    <row r="126" customFormat="false" ht="15" hidden="false" customHeight="false" outlineLevel="0" collapsed="false">
      <c r="A126" s="70" t="n">
        <v>124</v>
      </c>
      <c r="B126" s="70" t="n">
        <v>5</v>
      </c>
      <c r="C126" s="73" t="str">
        <f aca="false">_xlfn.CONCAT(E126,". ",D126," ",G126," (",I126,")")</f>
        <v>5. DAM B Taller de Creación de Marcas (3)</v>
      </c>
      <c r="D126" s="70" t="s">
        <v>330</v>
      </c>
      <c r="E126" s="70" t="n">
        <v>5</v>
      </c>
      <c r="F126" s="70" t="n">
        <v>4</v>
      </c>
      <c r="G126" s="73" t="s">
        <v>350</v>
      </c>
      <c r="H126" s="73" t="s">
        <v>357</v>
      </c>
      <c r="I126" s="70" t="n">
        <v>3</v>
      </c>
    </row>
    <row r="127" customFormat="false" ht="15" hidden="false" customHeight="false" outlineLevel="0" collapsed="false">
      <c r="A127" s="70" t="n">
        <v>125</v>
      </c>
      <c r="B127" s="70" t="n">
        <v>5</v>
      </c>
      <c r="C127" s="73" t="str">
        <f aca="false">_xlfn.CONCAT(E127,". ",D127," ",G127," (",I127,")")</f>
        <v>5. DAM B Fotografía Digital III (6)</v>
      </c>
      <c r="D127" s="70" t="s">
        <v>330</v>
      </c>
      <c r="E127" s="70" t="n">
        <v>5</v>
      </c>
      <c r="F127" s="70" t="n">
        <v>5</v>
      </c>
      <c r="G127" s="73" t="s">
        <v>352</v>
      </c>
      <c r="H127" s="73" t="s">
        <v>358</v>
      </c>
      <c r="I127" s="70" t="n">
        <v>6</v>
      </c>
    </row>
    <row r="128" customFormat="false" ht="15" hidden="false" customHeight="false" outlineLevel="0" collapsed="false">
      <c r="A128" s="70" t="n">
        <v>126</v>
      </c>
      <c r="B128" s="70" t="n">
        <v>5</v>
      </c>
      <c r="C128" s="73" t="str">
        <f aca="false">_xlfn.CONCAT(E128,". ",D128," ",G128," (",I128,")")</f>
        <v>5. DAM C Psicología del Diseño (3)</v>
      </c>
      <c r="D128" s="70" t="s">
        <v>359</v>
      </c>
      <c r="E128" s="70" t="n">
        <v>5</v>
      </c>
      <c r="F128" s="70" t="n">
        <v>1</v>
      </c>
      <c r="G128" s="73" t="s">
        <v>345</v>
      </c>
      <c r="H128" s="73" t="s">
        <v>360</v>
      </c>
      <c r="I128" s="70" t="n">
        <v>3</v>
      </c>
    </row>
    <row r="129" customFormat="false" ht="15" hidden="false" customHeight="false" outlineLevel="0" collapsed="false">
      <c r="A129" s="70" t="n">
        <v>127</v>
      </c>
      <c r="B129" s="70" t="n">
        <v>5</v>
      </c>
      <c r="C129" s="73" t="str">
        <f aca="false">_xlfn.CONCAT(E129,". ",D129," ",G129," (",I129,")")</f>
        <v>5. DAM C Semiótica (3)</v>
      </c>
      <c r="D129" s="70" t="s">
        <v>359</v>
      </c>
      <c r="E129" s="70" t="n">
        <v>5</v>
      </c>
      <c r="F129" s="70" t="n">
        <v>2</v>
      </c>
      <c r="G129" s="73" t="s">
        <v>204</v>
      </c>
      <c r="H129" s="73" t="s">
        <v>361</v>
      </c>
      <c r="I129" s="70" t="n">
        <v>3</v>
      </c>
    </row>
    <row r="130" customFormat="false" ht="15" hidden="false" customHeight="false" outlineLevel="0" collapsed="false">
      <c r="A130" s="70" t="n">
        <v>128</v>
      </c>
      <c r="B130" s="70" t="n">
        <v>5</v>
      </c>
      <c r="C130" s="73" t="str">
        <f aca="false">_xlfn.CONCAT(E130,". ",D130," ",G130," (",I130,")")</f>
        <v>5. DAM C Animación Digital 2D (4)</v>
      </c>
      <c r="D130" s="70" t="s">
        <v>359</v>
      </c>
      <c r="E130" s="70" t="n">
        <v>5</v>
      </c>
      <c r="F130" s="70" t="n">
        <v>3</v>
      </c>
      <c r="G130" s="73" t="s">
        <v>348</v>
      </c>
      <c r="H130" s="73" t="s">
        <v>362</v>
      </c>
      <c r="I130" s="70" t="n">
        <v>4</v>
      </c>
    </row>
    <row r="131" customFormat="false" ht="15" hidden="false" customHeight="false" outlineLevel="0" collapsed="false">
      <c r="A131" s="70" t="n">
        <v>129</v>
      </c>
      <c r="B131" s="70" t="n">
        <v>5</v>
      </c>
      <c r="C131" s="73" t="str">
        <f aca="false">_xlfn.CONCAT(E131,". ",D131," ",G131," (",I131,")")</f>
        <v>5. DAM C Taller de Creación de Marcas (3)</v>
      </c>
      <c r="D131" s="70" t="s">
        <v>359</v>
      </c>
      <c r="E131" s="70" t="n">
        <v>5</v>
      </c>
      <c r="F131" s="70" t="n">
        <v>4</v>
      </c>
      <c r="G131" s="73" t="s">
        <v>350</v>
      </c>
      <c r="H131" s="73" t="s">
        <v>363</v>
      </c>
      <c r="I131" s="70" t="n">
        <v>3</v>
      </c>
    </row>
    <row r="132" customFormat="false" ht="15" hidden="false" customHeight="false" outlineLevel="0" collapsed="false">
      <c r="A132" s="70" t="n">
        <v>130</v>
      </c>
      <c r="B132" s="70" t="n">
        <v>5</v>
      </c>
      <c r="C132" s="73" t="str">
        <f aca="false">_xlfn.CONCAT(E132,". ",D132," ",G132," (",I132,")")</f>
        <v>5. DAM C Fotografía Digital III (6)</v>
      </c>
      <c r="D132" s="70" t="s">
        <v>359</v>
      </c>
      <c r="E132" s="70" t="n">
        <v>5</v>
      </c>
      <c r="F132" s="70" t="n">
        <v>5</v>
      </c>
      <c r="G132" s="73" t="s">
        <v>352</v>
      </c>
      <c r="H132" s="73" t="s">
        <v>364</v>
      </c>
      <c r="I132" s="70" t="n">
        <v>6</v>
      </c>
    </row>
    <row r="133" customFormat="false" ht="15" hidden="false" customHeight="false" outlineLevel="0" collapsed="false">
      <c r="A133" s="70" t="n">
        <v>131</v>
      </c>
      <c r="B133" s="70" t="n">
        <v>5</v>
      </c>
      <c r="C133" s="73" t="str">
        <f aca="false">_xlfn.CONCAT(E133,". ",D133," ",G133," (",I133,")")</f>
        <v>7. DAM Diseño Editorial (4)</v>
      </c>
      <c r="D133" s="70" t="s">
        <v>312</v>
      </c>
      <c r="E133" s="70" t="n">
        <v>7</v>
      </c>
      <c r="F133" s="70" t="n">
        <v>1</v>
      </c>
      <c r="G133" s="73" t="s">
        <v>365</v>
      </c>
      <c r="H133" s="73" t="s">
        <v>366</v>
      </c>
      <c r="I133" s="70" t="n">
        <v>4</v>
      </c>
    </row>
    <row r="134" customFormat="false" ht="15" hidden="false" customHeight="false" outlineLevel="0" collapsed="false">
      <c r="A134" s="70" t="n">
        <v>132</v>
      </c>
      <c r="B134" s="70" t="n">
        <v>5</v>
      </c>
      <c r="C134" s="73" t="str">
        <f aca="false">_xlfn.CONCAT(E134,". ",D134," ",G134," (",I134,")")</f>
        <v>7. DAM Mercadotecnia y Diseño para Redes Sociales (4)</v>
      </c>
      <c r="D134" s="70" t="s">
        <v>312</v>
      </c>
      <c r="E134" s="70" t="n">
        <v>7</v>
      </c>
      <c r="F134" s="70" t="n">
        <v>2</v>
      </c>
      <c r="G134" s="73" t="s">
        <v>367</v>
      </c>
      <c r="H134" s="73" t="s">
        <v>368</v>
      </c>
      <c r="I134" s="70" t="n">
        <v>4</v>
      </c>
    </row>
    <row r="135" customFormat="false" ht="15" hidden="false" customHeight="false" outlineLevel="0" collapsed="false">
      <c r="A135" s="70" t="n">
        <v>133</v>
      </c>
      <c r="B135" s="70" t="n">
        <v>5</v>
      </c>
      <c r="C135" s="73" t="str">
        <f aca="false">_xlfn.CONCAT(E135,". ",D135," ",G135," (",I135,")")</f>
        <v>7. DAM Administración de Empresas Creativas (3)</v>
      </c>
      <c r="D135" s="70" t="s">
        <v>312</v>
      </c>
      <c r="E135" s="70" t="n">
        <v>7</v>
      </c>
      <c r="F135" s="70" t="n">
        <v>3</v>
      </c>
      <c r="G135" s="73" t="s">
        <v>369</v>
      </c>
      <c r="H135" s="73" t="s">
        <v>370</v>
      </c>
      <c r="I135" s="70" t="n">
        <v>3</v>
      </c>
    </row>
    <row r="136" customFormat="false" ht="15" hidden="false" customHeight="false" outlineLevel="0" collapsed="false">
      <c r="A136" s="70" t="n">
        <v>134</v>
      </c>
      <c r="B136" s="70" t="n">
        <v>5</v>
      </c>
      <c r="C136" s="73" t="str">
        <f aca="false">_xlfn.CONCAT(E136,". ",D136," ",G136," (",I136,")")</f>
        <v>7. DAM Sistema de Impresión I (4)</v>
      </c>
      <c r="D136" s="70" t="s">
        <v>312</v>
      </c>
      <c r="E136" s="70" t="n">
        <v>7</v>
      </c>
      <c r="F136" s="70" t="n">
        <v>4</v>
      </c>
      <c r="G136" s="73" t="s">
        <v>371</v>
      </c>
      <c r="H136" s="73" t="s">
        <v>372</v>
      </c>
      <c r="I136" s="70" t="n">
        <v>4</v>
      </c>
    </row>
    <row r="137" customFormat="false" ht="15" hidden="false" customHeight="false" outlineLevel="0" collapsed="false">
      <c r="A137" s="70" t="n">
        <v>135</v>
      </c>
      <c r="B137" s="70" t="n">
        <v>5</v>
      </c>
      <c r="C137" s="73" t="str">
        <f aca="false">_xlfn.CONCAT(E137,". ",D137," ",G137," (",I137,")")</f>
        <v>7. DAM Producción Audiovisual Multimedia (6)</v>
      </c>
      <c r="D137" s="70" t="s">
        <v>312</v>
      </c>
      <c r="E137" s="70" t="n">
        <v>7</v>
      </c>
      <c r="F137" s="70" t="n">
        <v>5</v>
      </c>
      <c r="G137" s="73" t="s">
        <v>373</v>
      </c>
      <c r="H137" s="73" t="s">
        <v>374</v>
      </c>
      <c r="I137" s="70" t="n">
        <v>6</v>
      </c>
    </row>
    <row r="138" customFormat="false" ht="15" hidden="false" customHeight="false" outlineLevel="0" collapsed="false">
      <c r="A138" s="70" t="n">
        <v>136</v>
      </c>
      <c r="B138" s="70" t="n">
        <v>5</v>
      </c>
      <c r="C138" s="73" t="str">
        <f aca="false">_xlfn.CONCAT(E138,". ",D138," ",G138," (",I138,")")</f>
        <v>8. DAM A Taller de Diseño Editorial (4)</v>
      </c>
      <c r="D138" s="70" t="s">
        <v>321</v>
      </c>
      <c r="E138" s="70" t="n">
        <v>8</v>
      </c>
      <c r="F138" s="70" t="n">
        <v>1</v>
      </c>
      <c r="G138" s="73" t="s">
        <v>375</v>
      </c>
      <c r="H138" s="73" t="s">
        <v>376</v>
      </c>
      <c r="I138" s="70" t="n">
        <v>4</v>
      </c>
    </row>
    <row r="139" customFormat="false" ht="15" hidden="false" customHeight="false" outlineLevel="0" collapsed="false">
      <c r="A139" s="70" t="n">
        <v>137</v>
      </c>
      <c r="B139" s="70" t="n">
        <v>5</v>
      </c>
      <c r="C139" s="73" t="str">
        <f aca="false">_xlfn.CONCAT(E139,". ",D139," ",G139," (",I139,")")</f>
        <v>8. DAM A Taller de Cartel Digital (4)</v>
      </c>
      <c r="D139" s="70" t="s">
        <v>321</v>
      </c>
      <c r="E139" s="70" t="n">
        <v>8</v>
      </c>
      <c r="F139" s="70" t="n">
        <v>2</v>
      </c>
      <c r="G139" s="73" t="s">
        <v>377</v>
      </c>
      <c r="H139" s="73" t="s">
        <v>378</v>
      </c>
      <c r="I139" s="70" t="n">
        <v>4</v>
      </c>
    </row>
    <row r="140" customFormat="false" ht="15" hidden="false" customHeight="false" outlineLevel="0" collapsed="false">
      <c r="A140" s="70" t="n">
        <v>138</v>
      </c>
      <c r="B140" s="70" t="n">
        <v>5</v>
      </c>
      <c r="C140" s="73" t="str">
        <f aca="false">_xlfn.CONCAT(E140,". ",D140," ",G140," (",I140,")")</f>
        <v>8. DAM A Nuevos Medios (3)</v>
      </c>
      <c r="D140" s="70" t="s">
        <v>321</v>
      </c>
      <c r="E140" s="70" t="n">
        <v>8</v>
      </c>
      <c r="F140" s="70" t="n">
        <v>3</v>
      </c>
      <c r="G140" s="73" t="s">
        <v>292</v>
      </c>
      <c r="H140" s="73" t="s">
        <v>379</v>
      </c>
      <c r="I140" s="70" t="n">
        <v>3</v>
      </c>
    </row>
    <row r="141" customFormat="false" ht="15" hidden="false" customHeight="false" outlineLevel="0" collapsed="false">
      <c r="A141" s="70" t="n">
        <v>139</v>
      </c>
      <c r="B141" s="70" t="n">
        <v>5</v>
      </c>
      <c r="C141" s="73" t="str">
        <f aca="false">_xlfn.CONCAT(E141,". ",D141," ",G141," (",I141,")")</f>
        <v>8. DAM A Sistema de Impresión II (4)</v>
      </c>
      <c r="D141" s="70" t="s">
        <v>321</v>
      </c>
      <c r="E141" s="70" t="n">
        <v>8</v>
      </c>
      <c r="F141" s="70" t="n">
        <v>4</v>
      </c>
      <c r="G141" s="73" t="s">
        <v>380</v>
      </c>
      <c r="H141" s="73" t="s">
        <v>381</v>
      </c>
      <c r="I141" s="70" t="n">
        <v>4</v>
      </c>
    </row>
    <row r="142" customFormat="false" ht="15" hidden="false" customHeight="false" outlineLevel="0" collapsed="false">
      <c r="A142" s="70" t="n">
        <v>140</v>
      </c>
      <c r="B142" s="70" t="n">
        <v>5</v>
      </c>
      <c r="C142" s="73" t="str">
        <f aca="false">_xlfn.CONCAT(E142,". ",D142," ",G142," (",I142,")")</f>
        <v>8. DAM A Emprendedurismo (2)</v>
      </c>
      <c r="D142" s="70" t="s">
        <v>321</v>
      </c>
      <c r="E142" s="70" t="n">
        <v>8</v>
      </c>
      <c r="F142" s="70" t="n">
        <v>5</v>
      </c>
      <c r="G142" s="73" t="s">
        <v>294</v>
      </c>
      <c r="H142" s="73" t="s">
        <v>382</v>
      </c>
      <c r="I142" s="70" t="n">
        <v>2</v>
      </c>
    </row>
    <row r="143" customFormat="false" ht="15" hidden="false" customHeight="false" outlineLevel="0" collapsed="false">
      <c r="A143" s="70" t="n">
        <v>141</v>
      </c>
      <c r="B143" s="70" t="n">
        <v>5</v>
      </c>
      <c r="C143" s="73" t="str">
        <f aca="false">_xlfn.CONCAT(E143,". ",D143," ",G143," (",I143,")")</f>
        <v>8. DAM B Taller de Diseño Editorial (4)</v>
      </c>
      <c r="D143" s="70" t="s">
        <v>330</v>
      </c>
      <c r="E143" s="70" t="n">
        <v>8</v>
      </c>
      <c r="F143" s="70" t="n">
        <v>1</v>
      </c>
      <c r="G143" s="73" t="s">
        <v>375</v>
      </c>
      <c r="H143" s="73" t="s">
        <v>383</v>
      </c>
      <c r="I143" s="70" t="n">
        <v>4</v>
      </c>
    </row>
    <row r="144" customFormat="false" ht="15" hidden="false" customHeight="false" outlineLevel="0" collapsed="false">
      <c r="A144" s="70" t="n">
        <v>142</v>
      </c>
      <c r="B144" s="70" t="n">
        <v>5</v>
      </c>
      <c r="C144" s="73" t="str">
        <f aca="false">_xlfn.CONCAT(E144,". ",D144," ",G144," (",I144,")")</f>
        <v>8. DAM B Taller de Cartel Digital (4)</v>
      </c>
      <c r="D144" s="70" t="s">
        <v>330</v>
      </c>
      <c r="E144" s="70" t="n">
        <v>8</v>
      </c>
      <c r="F144" s="70" t="n">
        <v>2</v>
      </c>
      <c r="G144" s="73" t="s">
        <v>377</v>
      </c>
      <c r="H144" s="73" t="s">
        <v>384</v>
      </c>
      <c r="I144" s="70" t="n">
        <v>4</v>
      </c>
    </row>
    <row r="145" customFormat="false" ht="15" hidden="false" customHeight="false" outlineLevel="0" collapsed="false">
      <c r="A145" s="70" t="n">
        <v>143</v>
      </c>
      <c r="B145" s="70" t="n">
        <v>5</v>
      </c>
      <c r="C145" s="73" t="str">
        <f aca="false">_xlfn.CONCAT(E145,". ",D145," ",G145," (",I145,")")</f>
        <v>8. DAM B Nuevos Medios (3)</v>
      </c>
      <c r="D145" s="70" t="s">
        <v>330</v>
      </c>
      <c r="E145" s="70" t="n">
        <v>8</v>
      </c>
      <c r="F145" s="70" t="n">
        <v>3</v>
      </c>
      <c r="G145" s="73" t="s">
        <v>292</v>
      </c>
      <c r="H145" s="73" t="s">
        <v>385</v>
      </c>
      <c r="I145" s="70" t="n">
        <v>3</v>
      </c>
    </row>
    <row r="146" customFormat="false" ht="15" hidden="false" customHeight="false" outlineLevel="0" collapsed="false">
      <c r="A146" s="70" t="n">
        <v>144</v>
      </c>
      <c r="B146" s="70" t="n">
        <v>5</v>
      </c>
      <c r="C146" s="73" t="str">
        <f aca="false">_xlfn.CONCAT(E146,". ",D146," ",G146," (",I146,")")</f>
        <v>8. DAM B Sistema de Impresión II (4)</v>
      </c>
      <c r="D146" s="70" t="s">
        <v>330</v>
      </c>
      <c r="E146" s="70" t="n">
        <v>8</v>
      </c>
      <c r="F146" s="70" t="n">
        <v>4</v>
      </c>
      <c r="G146" s="73" t="s">
        <v>380</v>
      </c>
      <c r="H146" s="73" t="s">
        <v>386</v>
      </c>
      <c r="I146" s="70" t="n">
        <v>4</v>
      </c>
    </row>
    <row r="147" customFormat="false" ht="15" hidden="false" customHeight="false" outlineLevel="0" collapsed="false">
      <c r="A147" s="70" t="n">
        <v>145</v>
      </c>
      <c r="B147" s="70" t="n">
        <v>5</v>
      </c>
      <c r="C147" s="73" t="str">
        <f aca="false">_xlfn.CONCAT(E147,". ",D147," ",G147," (",I147,")")</f>
        <v>8. DAM B Emprendedurismo (2)</v>
      </c>
      <c r="D147" s="70" t="s">
        <v>330</v>
      </c>
      <c r="E147" s="70" t="n">
        <v>8</v>
      </c>
      <c r="F147" s="70" t="n">
        <v>5</v>
      </c>
      <c r="G147" s="73" t="s">
        <v>294</v>
      </c>
      <c r="H147" s="73" t="s">
        <v>387</v>
      </c>
      <c r="I147" s="70" t="n">
        <v>2</v>
      </c>
    </row>
    <row r="148" customFormat="false" ht="15" hidden="false" customHeight="false" outlineLevel="0" collapsed="false">
      <c r="A148" s="70" t="n">
        <v>146</v>
      </c>
      <c r="B148" s="74" t="n">
        <v>6</v>
      </c>
      <c r="C148" s="73" t="str">
        <f aca="false">_xlfn.CONCAT(E148,". ",D148," ",G148," (",I148,")")</f>
        <v>1. IRP  Introducción a las Relaciones Públicas (4)</v>
      </c>
      <c r="D148" s="74" t="s">
        <v>388</v>
      </c>
      <c r="E148" s="74" t="n">
        <v>1</v>
      </c>
      <c r="F148" s="74" t="n">
        <v>1</v>
      </c>
      <c r="G148" s="75" t="s">
        <v>389</v>
      </c>
      <c r="H148" s="75" t="s">
        <v>390</v>
      </c>
      <c r="I148" s="74" t="n">
        <v>4</v>
      </c>
    </row>
    <row r="149" customFormat="false" ht="15" hidden="false" customHeight="false" outlineLevel="0" collapsed="false">
      <c r="A149" s="70" t="n">
        <v>147</v>
      </c>
      <c r="B149" s="74" t="n">
        <v>6</v>
      </c>
      <c r="C149" s="73" t="str">
        <f aca="false">_xlfn.CONCAT(E149,". ",D149," ",G149," (",I149,")")</f>
        <v>1. IRP Taller de Redacción (3)</v>
      </c>
      <c r="D149" s="74" t="s">
        <v>388</v>
      </c>
      <c r="E149" s="74" t="n">
        <v>1</v>
      </c>
      <c r="F149" s="74" t="n">
        <v>2</v>
      </c>
      <c r="G149" s="75" t="s">
        <v>243</v>
      </c>
      <c r="H149" s="75" t="s">
        <v>391</v>
      </c>
      <c r="I149" s="74" t="n">
        <v>3</v>
      </c>
    </row>
    <row r="150" customFormat="false" ht="15" hidden="false" customHeight="false" outlineLevel="0" collapsed="false">
      <c r="A150" s="70" t="n">
        <v>148</v>
      </c>
      <c r="B150" s="74" t="n">
        <v>6</v>
      </c>
      <c r="C150" s="73" t="str">
        <f aca="false">_xlfn.CONCAT(E150,". ",D150," ",G150," (",I150,")")</f>
        <v>1. IRP Comunicación en Medios Escritos (3)</v>
      </c>
      <c r="D150" s="74" t="s">
        <v>388</v>
      </c>
      <c r="E150" s="74" t="n">
        <v>1</v>
      </c>
      <c r="F150" s="74" t="n">
        <v>3</v>
      </c>
      <c r="G150" s="75" t="s">
        <v>392</v>
      </c>
      <c r="H150" s="75" t="s">
        <v>393</v>
      </c>
      <c r="I150" s="74" t="n">
        <v>3</v>
      </c>
    </row>
    <row r="151" customFormat="false" ht="15" hidden="false" customHeight="false" outlineLevel="0" collapsed="false">
      <c r="A151" s="70" t="n">
        <v>149</v>
      </c>
      <c r="B151" s="74" t="n">
        <v>6</v>
      </c>
      <c r="C151" s="73" t="str">
        <f aca="false">_xlfn.CONCAT(E151,". ",D151," ",G151," (",I151,")")</f>
        <v>1. IRP Principios de la Imagen (3)</v>
      </c>
      <c r="D151" s="74" t="s">
        <v>388</v>
      </c>
      <c r="E151" s="74" t="n">
        <v>1</v>
      </c>
      <c r="F151" s="74" t="n">
        <v>4</v>
      </c>
      <c r="G151" s="75" t="s">
        <v>394</v>
      </c>
      <c r="H151" s="75" t="s">
        <v>395</v>
      </c>
      <c r="I151" s="74" t="n">
        <v>3</v>
      </c>
    </row>
    <row r="152" customFormat="false" ht="15" hidden="false" customHeight="false" outlineLevel="0" collapsed="false">
      <c r="A152" s="70" t="n">
        <v>150</v>
      </c>
      <c r="B152" s="74" t="n">
        <v>6</v>
      </c>
      <c r="C152" s="73" t="str">
        <f aca="false">_xlfn.CONCAT(E152,". ",D152," ",G152," (",I152,")")</f>
        <v>1. IRP Teoría de la Comunicación (4)</v>
      </c>
      <c r="D152" s="74" t="s">
        <v>388</v>
      </c>
      <c r="E152" s="74" t="n">
        <v>1</v>
      </c>
      <c r="F152" s="74" t="n">
        <v>5</v>
      </c>
      <c r="G152" s="75" t="s">
        <v>253</v>
      </c>
      <c r="H152" s="75" t="s">
        <v>396</v>
      </c>
      <c r="I152" s="74" t="n">
        <v>4</v>
      </c>
    </row>
    <row r="153" customFormat="false" ht="15" hidden="false" customHeight="false" outlineLevel="0" collapsed="false">
      <c r="A153" s="70" t="n">
        <v>151</v>
      </c>
      <c r="B153" s="74" t="n">
        <v>6</v>
      </c>
      <c r="C153" s="73" t="str">
        <f aca="false">_xlfn.CONCAT(E153,". ",D153," ",G153," (",I153,")")</f>
        <v>5. IRP Administración de Empresas (4)</v>
      </c>
      <c r="D153" s="74" t="s">
        <v>388</v>
      </c>
      <c r="E153" s="74" t="n">
        <v>5</v>
      </c>
      <c r="F153" s="74" t="n">
        <v>1</v>
      </c>
      <c r="G153" s="75" t="s">
        <v>397</v>
      </c>
      <c r="H153" s="75" t="s">
        <v>398</v>
      </c>
      <c r="I153" s="74" t="n">
        <v>4</v>
      </c>
    </row>
    <row r="154" customFormat="false" ht="15" hidden="false" customHeight="false" outlineLevel="0" collapsed="false">
      <c r="A154" s="70" t="n">
        <v>152</v>
      </c>
      <c r="B154" s="74" t="n">
        <v>6</v>
      </c>
      <c r="C154" s="73" t="str">
        <f aca="false">_xlfn.CONCAT(E154,". ",D154," ",G154," (",I154,")")</f>
        <v>5. IRP Mercadotecnia y Publicidad (3)</v>
      </c>
      <c r="D154" s="74" t="s">
        <v>388</v>
      </c>
      <c r="E154" s="74" t="n">
        <v>5</v>
      </c>
      <c r="F154" s="74" t="n">
        <v>2</v>
      </c>
      <c r="G154" s="75" t="s">
        <v>259</v>
      </c>
      <c r="H154" s="75" t="s">
        <v>399</v>
      </c>
      <c r="I154" s="74" t="n">
        <v>3</v>
      </c>
    </row>
    <row r="155" customFormat="false" ht="15" hidden="false" customHeight="false" outlineLevel="0" collapsed="false">
      <c r="A155" s="70" t="n">
        <v>153</v>
      </c>
      <c r="B155" s="74" t="n">
        <v>6</v>
      </c>
      <c r="C155" s="73" t="str">
        <f aca="false">_xlfn.CONCAT(E155,". ",D155," ",G155," (",I155,")")</f>
        <v>5. IRP Mercadotecnia y Diseño para Redes Sociales (4)</v>
      </c>
      <c r="D155" s="74" t="s">
        <v>388</v>
      </c>
      <c r="E155" s="74" t="n">
        <v>5</v>
      </c>
      <c r="F155" s="74" t="n">
        <v>3</v>
      </c>
      <c r="G155" s="75" t="s">
        <v>367</v>
      </c>
      <c r="H155" s="75" t="s">
        <v>400</v>
      </c>
      <c r="I155" s="74" t="n">
        <v>4</v>
      </c>
    </row>
    <row r="156" customFormat="false" ht="15" hidden="false" customHeight="false" outlineLevel="0" collapsed="false">
      <c r="A156" s="70" t="n">
        <v>154</v>
      </c>
      <c r="B156" s="74" t="n">
        <v>6</v>
      </c>
      <c r="C156" s="73" t="str">
        <f aca="false">_xlfn.CONCAT(E156,". ",D156," ",G156," (",I156,")")</f>
        <v>5. IRP Semiótica de la Imagen (3)</v>
      </c>
      <c r="D156" s="74" t="s">
        <v>388</v>
      </c>
      <c r="E156" s="74" t="n">
        <v>5</v>
      </c>
      <c r="F156" s="74" t="n">
        <v>4</v>
      </c>
      <c r="G156" s="75" t="s">
        <v>401</v>
      </c>
      <c r="H156" s="75" t="s">
        <v>402</v>
      </c>
      <c r="I156" s="74" t="n">
        <v>3</v>
      </c>
    </row>
    <row r="157" customFormat="false" ht="15" hidden="false" customHeight="false" outlineLevel="0" collapsed="false">
      <c r="A157" s="70" t="n">
        <v>155</v>
      </c>
      <c r="B157" s="74" t="n">
        <v>6</v>
      </c>
      <c r="C157" s="73" t="str">
        <f aca="false">_xlfn.CONCAT(E157,". ",D157," ",G157," (",I157,")")</f>
        <v>5. IRP Antropología Social (3)</v>
      </c>
      <c r="D157" s="74" t="s">
        <v>388</v>
      </c>
      <c r="E157" s="74" t="n">
        <v>5</v>
      </c>
      <c r="F157" s="74" t="n">
        <v>5</v>
      </c>
      <c r="G157" s="75" t="s">
        <v>403</v>
      </c>
      <c r="H157" s="75" t="s">
        <v>404</v>
      </c>
      <c r="I157" s="74" t="n">
        <v>3</v>
      </c>
    </row>
    <row r="158" customFormat="false" ht="15" hidden="false" customHeight="false" outlineLevel="0" collapsed="false">
      <c r="A158" s="70" t="n">
        <v>156</v>
      </c>
      <c r="B158" s="74" t="n">
        <v>6</v>
      </c>
      <c r="C158" s="73" t="str">
        <f aca="false">_xlfn.CONCAT(E158,". ",D158," ",G158," (",I158,")")</f>
        <v>8. IRP Inglés para las Relaciones Públicas II (3)</v>
      </c>
      <c r="D158" s="74" t="s">
        <v>388</v>
      </c>
      <c r="E158" s="74" t="n">
        <v>8</v>
      </c>
      <c r="F158" s="74" t="n">
        <v>1</v>
      </c>
      <c r="G158" s="75" t="s">
        <v>405</v>
      </c>
      <c r="H158" s="75" t="s">
        <v>406</v>
      </c>
      <c r="I158" s="74" t="n">
        <v>3</v>
      </c>
    </row>
    <row r="159" customFormat="false" ht="15" hidden="false" customHeight="false" outlineLevel="0" collapsed="false">
      <c r="A159" s="70" t="n">
        <v>157</v>
      </c>
      <c r="B159" s="74" t="n">
        <v>6</v>
      </c>
      <c r="C159" s="73" t="str">
        <f aca="false">_xlfn.CONCAT(E159,". ",D159," ",G159," (",I159,")")</f>
        <v>8. IRP Responsabilidad Social y Desarrollo Sustentable (3)</v>
      </c>
      <c r="D159" s="74" t="s">
        <v>388</v>
      </c>
      <c r="E159" s="74" t="n">
        <v>8</v>
      </c>
      <c r="F159" s="74" t="n">
        <v>2</v>
      </c>
      <c r="G159" s="75" t="s">
        <v>407</v>
      </c>
      <c r="H159" s="75" t="s">
        <v>408</v>
      </c>
      <c r="I159" s="74" t="n">
        <v>3</v>
      </c>
    </row>
    <row r="160" customFormat="false" ht="15" hidden="false" customHeight="false" outlineLevel="0" collapsed="false">
      <c r="A160" s="70" t="n">
        <v>158</v>
      </c>
      <c r="B160" s="74" t="n">
        <v>6</v>
      </c>
      <c r="C160" s="73" t="str">
        <f aca="false">_xlfn.CONCAT(E160,". ",D160," ",G160," (",I160,")")</f>
        <v>8. IRP Mercadotecnia Política I (4)</v>
      </c>
      <c r="D160" s="74" t="s">
        <v>388</v>
      </c>
      <c r="E160" s="74" t="n">
        <v>8</v>
      </c>
      <c r="F160" s="74" t="n">
        <v>3</v>
      </c>
      <c r="G160" s="75" t="s">
        <v>409</v>
      </c>
      <c r="H160" s="75" t="s">
        <v>410</v>
      </c>
      <c r="I160" s="74" t="n">
        <v>4</v>
      </c>
    </row>
    <row r="161" customFormat="false" ht="15" hidden="false" customHeight="false" outlineLevel="0" collapsed="false">
      <c r="A161" s="70" t="n">
        <v>159</v>
      </c>
      <c r="B161" s="74" t="n">
        <v>6</v>
      </c>
      <c r="C161" s="73" t="str">
        <f aca="false">_xlfn.CONCAT(E161,". ",D161," ",G161," (",I161,")")</f>
        <v>8. IRP Identidad e Imagen Corporativa (4)</v>
      </c>
      <c r="D161" s="74" t="s">
        <v>388</v>
      </c>
      <c r="E161" s="74" t="n">
        <v>8</v>
      </c>
      <c r="F161" s="74" t="n">
        <v>4</v>
      </c>
      <c r="G161" s="75" t="s">
        <v>411</v>
      </c>
      <c r="H161" s="75" t="s">
        <v>412</v>
      </c>
      <c r="I161" s="74" t="n">
        <v>4</v>
      </c>
    </row>
    <row r="162" customFormat="false" ht="15" hidden="false" customHeight="false" outlineLevel="0" collapsed="false">
      <c r="A162" s="70" t="n">
        <v>160</v>
      </c>
      <c r="B162" s="74" t="n">
        <v>6</v>
      </c>
      <c r="C162" s="73" t="str">
        <f aca="false">_xlfn.CONCAT(E162,". ",D162," ",G162," (",I162,")")</f>
        <v>8. IRP Logística y Montaje de Eventos (6)</v>
      </c>
      <c r="D162" s="74" t="s">
        <v>388</v>
      </c>
      <c r="E162" s="74" t="n">
        <v>8</v>
      </c>
      <c r="F162" s="74" t="n">
        <v>5</v>
      </c>
      <c r="G162" s="75" t="s">
        <v>413</v>
      </c>
      <c r="H162" s="75" t="s">
        <v>414</v>
      </c>
      <c r="I162" s="74" t="n">
        <v>6</v>
      </c>
    </row>
    <row r="163" customFormat="false" ht="15" hidden="false" customHeight="false" outlineLevel="0" collapsed="false">
      <c r="A163" s="70" t="n">
        <v>161</v>
      </c>
      <c r="B163" s="77" t="n">
        <v>7</v>
      </c>
      <c r="C163" s="73" t="str">
        <f aca="false">_xlfn.CONCAT(E163,". ",D163," ",G163," (",I163,")")</f>
        <v>1. INT  Inglés I (6)</v>
      </c>
      <c r="D163" s="77" t="s">
        <v>415</v>
      </c>
      <c r="E163" s="77" t="n">
        <v>1</v>
      </c>
      <c r="F163" s="77" t="n">
        <v>1</v>
      </c>
      <c r="G163" s="78" t="s">
        <v>416</v>
      </c>
      <c r="H163" s="78" t="s">
        <v>417</v>
      </c>
      <c r="I163" s="77" t="n">
        <v>6</v>
      </c>
    </row>
    <row r="164" customFormat="false" ht="15" hidden="false" customHeight="false" outlineLevel="0" collapsed="false">
      <c r="A164" s="70" t="n">
        <v>162</v>
      </c>
      <c r="B164" s="77" t="n">
        <v>7</v>
      </c>
      <c r="C164" s="73" t="str">
        <f aca="false">_xlfn.CONCAT(E164,". ",D164," ",G164," (",I164,")")</f>
        <v>1. INT Gramática Inglesa I (3)</v>
      </c>
      <c r="D164" s="77" t="s">
        <v>415</v>
      </c>
      <c r="E164" s="77" t="n">
        <v>1</v>
      </c>
      <c r="F164" s="77" t="n">
        <v>2</v>
      </c>
      <c r="G164" s="78" t="s">
        <v>418</v>
      </c>
      <c r="H164" s="78" t="s">
        <v>419</v>
      </c>
      <c r="I164" s="77" t="n">
        <v>3</v>
      </c>
    </row>
    <row r="165" customFormat="false" ht="15" hidden="false" customHeight="false" outlineLevel="0" collapsed="false">
      <c r="A165" s="70" t="n">
        <v>163</v>
      </c>
      <c r="B165" s="77" t="n">
        <v>7</v>
      </c>
      <c r="C165" s="73" t="str">
        <f aca="false">_xlfn.CONCAT(E165,". ",D165," ",G165," (",I165,")")</f>
        <v>1. INT Gramática Española y Redacción Profesional (3)</v>
      </c>
      <c r="D165" s="77" t="s">
        <v>415</v>
      </c>
      <c r="E165" s="77" t="n">
        <v>1</v>
      </c>
      <c r="F165" s="77" t="n">
        <v>3</v>
      </c>
      <c r="G165" s="78" t="s">
        <v>420</v>
      </c>
      <c r="H165" s="78" t="s">
        <v>421</v>
      </c>
      <c r="I165" s="77" t="n">
        <v>3</v>
      </c>
    </row>
    <row r="166" customFormat="false" ht="15" hidden="false" customHeight="false" outlineLevel="0" collapsed="false">
      <c r="A166" s="70" t="n">
        <v>164</v>
      </c>
      <c r="B166" s="77" t="n">
        <v>7</v>
      </c>
      <c r="C166" s="73" t="str">
        <f aca="false">_xlfn.CONCAT(E166,". ",D166," ",G166," (",I166,")")</f>
        <v>1. INT Historia y Cultura de México (4)</v>
      </c>
      <c r="D166" s="77" t="s">
        <v>415</v>
      </c>
      <c r="E166" s="77" t="n">
        <v>1</v>
      </c>
      <c r="F166" s="77" t="n">
        <v>4</v>
      </c>
      <c r="G166" s="78" t="s">
        <v>239</v>
      </c>
      <c r="H166" s="78" t="s">
        <v>422</v>
      </c>
      <c r="I166" s="77" t="n">
        <v>4</v>
      </c>
    </row>
    <row r="167" customFormat="false" ht="15" hidden="false" customHeight="false" outlineLevel="0" collapsed="false">
      <c r="A167" s="70" t="n">
        <v>165</v>
      </c>
      <c r="B167" s="77" t="n">
        <v>7</v>
      </c>
      <c r="C167" s="73" t="str">
        <f aca="false">_xlfn.CONCAT(E167,". ",D167," ",G167," (",I167,")")</f>
        <v>1. INT Introducción a la Interpretación y Traducción (4)</v>
      </c>
      <c r="D167" s="77" t="s">
        <v>415</v>
      </c>
      <c r="E167" s="77" t="n">
        <v>1</v>
      </c>
      <c r="F167" s="77" t="n">
        <v>5</v>
      </c>
      <c r="G167" s="78" t="s">
        <v>423</v>
      </c>
      <c r="H167" s="78" t="s">
        <v>424</v>
      </c>
      <c r="I167" s="77" t="n">
        <v>4</v>
      </c>
    </row>
    <row r="168" customFormat="false" ht="15" hidden="false" customHeight="false" outlineLevel="0" collapsed="false">
      <c r="A168" s="70" t="n">
        <v>166</v>
      </c>
      <c r="B168" s="77" t="n">
        <v>7</v>
      </c>
      <c r="C168" s="73" t="str">
        <f aca="false">_xlfn.CONCAT(E168,". ",D168," ",G168," (",I168,")")</f>
        <v>2. INT Inglés II (6)</v>
      </c>
      <c r="D168" s="77" t="s">
        <v>415</v>
      </c>
      <c r="E168" s="77" t="n">
        <v>2</v>
      </c>
      <c r="F168" s="77" t="n">
        <v>1</v>
      </c>
      <c r="G168" s="78" t="s">
        <v>425</v>
      </c>
      <c r="H168" s="78" t="s">
        <v>426</v>
      </c>
      <c r="I168" s="77" t="n">
        <v>6</v>
      </c>
    </row>
    <row r="169" customFormat="false" ht="15" hidden="false" customHeight="false" outlineLevel="0" collapsed="false">
      <c r="A169" s="70" t="n">
        <v>167</v>
      </c>
      <c r="B169" s="77" t="n">
        <v>7</v>
      </c>
      <c r="C169" s="73" t="str">
        <f aca="false">_xlfn.CONCAT(E169,". ",D169," ",G169," (",I169,")")</f>
        <v>2. INT Gramática Inglesa II (3)</v>
      </c>
      <c r="D169" s="77" t="s">
        <v>415</v>
      </c>
      <c r="E169" s="77" t="n">
        <v>2</v>
      </c>
      <c r="F169" s="77" t="n">
        <v>2</v>
      </c>
      <c r="G169" s="78" t="s">
        <v>427</v>
      </c>
      <c r="H169" s="78" t="s">
        <v>428</v>
      </c>
      <c r="I169" s="77" t="n">
        <v>3</v>
      </c>
    </row>
    <row r="170" customFormat="false" ht="15" hidden="false" customHeight="false" outlineLevel="0" collapsed="false">
      <c r="A170" s="70" t="n">
        <v>168</v>
      </c>
      <c r="B170" s="77" t="n">
        <v>7</v>
      </c>
      <c r="C170" s="73" t="str">
        <f aca="false">_xlfn.CONCAT(E170,". ",D170," ",G170," (",I170,")")</f>
        <v>2. INT Lingüística Aplicada a la Traducción (3)</v>
      </c>
      <c r="D170" s="77" t="s">
        <v>415</v>
      </c>
      <c r="E170" s="77" t="n">
        <v>2</v>
      </c>
      <c r="F170" s="77" t="n">
        <v>3</v>
      </c>
      <c r="G170" s="78" t="s">
        <v>429</v>
      </c>
      <c r="H170" s="78" t="s">
        <v>430</v>
      </c>
      <c r="I170" s="77" t="n">
        <v>3</v>
      </c>
    </row>
    <row r="171" customFormat="false" ht="15" hidden="false" customHeight="false" outlineLevel="0" collapsed="false">
      <c r="A171" s="70" t="n">
        <v>169</v>
      </c>
      <c r="B171" s="77" t="n">
        <v>7</v>
      </c>
      <c r="C171" s="73" t="str">
        <f aca="false">_xlfn.CONCAT(E171,". ",D171," ",G171," (",I171,")")</f>
        <v>2. INT Historia de la Cultura Europea (4)</v>
      </c>
      <c r="D171" s="77" t="s">
        <v>415</v>
      </c>
      <c r="E171" s="77" t="n">
        <v>2</v>
      </c>
      <c r="F171" s="77" t="n">
        <v>4</v>
      </c>
      <c r="G171" s="78" t="s">
        <v>431</v>
      </c>
      <c r="H171" s="78" t="s">
        <v>432</v>
      </c>
      <c r="I171" s="77" t="n">
        <v>4</v>
      </c>
    </row>
    <row r="172" customFormat="false" ht="15" hidden="false" customHeight="false" outlineLevel="0" collapsed="false">
      <c r="A172" s="70" t="n">
        <v>170</v>
      </c>
      <c r="B172" s="77" t="n">
        <v>7</v>
      </c>
      <c r="C172" s="73" t="str">
        <f aca="false">_xlfn.CONCAT(E172,". ",D172," ",G172," (",I172,")")</f>
        <v>2. INT Metodología de la Investigación (2)</v>
      </c>
      <c r="D172" s="77" t="s">
        <v>415</v>
      </c>
      <c r="E172" s="77" t="n">
        <v>2</v>
      </c>
      <c r="F172" s="77" t="n">
        <v>5</v>
      </c>
      <c r="G172" s="78" t="s">
        <v>255</v>
      </c>
      <c r="H172" s="78" t="s">
        <v>256</v>
      </c>
      <c r="I172" s="77" t="n">
        <v>2</v>
      </c>
    </row>
    <row r="173" customFormat="false" ht="15" hidden="false" customHeight="false" outlineLevel="0" collapsed="false">
      <c r="A173" s="70" t="n">
        <v>171</v>
      </c>
      <c r="B173" s="77" t="n">
        <v>7</v>
      </c>
      <c r="C173" s="73" t="str">
        <f aca="false">_xlfn.CONCAT(E173,". ",D173," ",G173," (",I173,")")</f>
        <v>4. INT Inglés IV (6)</v>
      </c>
      <c r="D173" s="77" t="s">
        <v>415</v>
      </c>
      <c r="E173" s="77" t="n">
        <v>4</v>
      </c>
      <c r="F173" s="77" t="n">
        <v>1</v>
      </c>
      <c r="G173" s="78" t="s">
        <v>433</v>
      </c>
      <c r="H173" s="78" t="s">
        <v>434</v>
      </c>
      <c r="I173" s="77" t="n">
        <v>6</v>
      </c>
    </row>
    <row r="174" customFormat="false" ht="15" hidden="false" customHeight="false" outlineLevel="0" collapsed="false">
      <c r="A174" s="70" t="n">
        <v>172</v>
      </c>
      <c r="B174" s="77" t="n">
        <v>7</v>
      </c>
      <c r="C174" s="73" t="str">
        <f aca="false">_xlfn.CONCAT(E174,". ",D174," ",G174," (",I174,")")</f>
        <v>4. INT Gramática Comparativa Inglés-Español (4)</v>
      </c>
      <c r="D174" s="77" t="s">
        <v>415</v>
      </c>
      <c r="E174" s="77" t="n">
        <v>4</v>
      </c>
      <c r="F174" s="77" t="n">
        <v>2</v>
      </c>
      <c r="G174" s="78" t="s">
        <v>435</v>
      </c>
      <c r="H174" s="78" t="s">
        <v>436</v>
      </c>
      <c r="I174" s="77" t="n">
        <v>4</v>
      </c>
    </row>
    <row r="175" customFormat="false" ht="15" hidden="false" customHeight="false" outlineLevel="0" collapsed="false">
      <c r="A175" s="70" t="n">
        <v>173</v>
      </c>
      <c r="B175" s="77" t="n">
        <v>7</v>
      </c>
      <c r="C175" s="73" t="str">
        <f aca="false">_xlfn.CONCAT(E175,". ",D175," ",G175," (",I175,")")</f>
        <v>4. INT Lectura y Redacción Avanzadas para Traductores en Inglés (2)</v>
      </c>
      <c r="D175" s="77" t="s">
        <v>415</v>
      </c>
      <c r="E175" s="77" t="n">
        <v>4</v>
      </c>
      <c r="F175" s="77" t="n">
        <v>3</v>
      </c>
      <c r="G175" s="78" t="s">
        <v>437</v>
      </c>
      <c r="H175" s="78" t="s">
        <v>438</v>
      </c>
      <c r="I175" s="77" t="n">
        <v>2</v>
      </c>
    </row>
    <row r="176" customFormat="false" ht="15" hidden="false" customHeight="false" outlineLevel="0" collapsed="false">
      <c r="A176" s="70" t="n">
        <v>174</v>
      </c>
      <c r="B176" s="77" t="n">
        <v>7</v>
      </c>
      <c r="C176" s="73" t="str">
        <f aca="false">_xlfn.CONCAT(E176,". ",D176," ",G176," (",I176,")")</f>
        <v>4. INT Taller de Traducción Médica Especializada II (6)</v>
      </c>
      <c r="D176" s="77" t="s">
        <v>415</v>
      </c>
      <c r="E176" s="77" t="n">
        <v>4</v>
      </c>
      <c r="F176" s="77" t="n">
        <v>4</v>
      </c>
      <c r="G176" s="78" t="s">
        <v>439</v>
      </c>
      <c r="H176" s="78" t="s">
        <v>440</v>
      </c>
      <c r="I176" s="77" t="n">
        <v>6</v>
      </c>
    </row>
    <row r="177" customFormat="false" ht="15" hidden="false" customHeight="false" outlineLevel="0" collapsed="false">
      <c r="A177" s="70" t="n">
        <v>175</v>
      </c>
      <c r="B177" s="77" t="n">
        <v>7</v>
      </c>
      <c r="C177" s="73" t="str">
        <f aca="false">_xlfn.CONCAT(E177,". ",D177," ",G177," (",I177,")")</f>
        <v>4. INT Taller de Interpretación Simultánea y Consecutiva Médica Especializada II (5)</v>
      </c>
      <c r="D177" s="77" t="s">
        <v>415</v>
      </c>
      <c r="E177" s="77" t="n">
        <v>4</v>
      </c>
      <c r="F177" s="77" t="n">
        <v>5</v>
      </c>
      <c r="G177" s="78" t="s">
        <v>441</v>
      </c>
      <c r="H177" s="78" t="s">
        <v>442</v>
      </c>
      <c r="I177" s="77" t="n">
        <v>5</v>
      </c>
    </row>
    <row r="178" customFormat="false" ht="15" hidden="false" customHeight="false" outlineLevel="0" collapsed="false">
      <c r="A178" s="70" t="n">
        <v>176</v>
      </c>
      <c r="B178" s="77" t="n">
        <v>7</v>
      </c>
      <c r="C178" s="73" t="str">
        <f aca="false">_xlfn.CONCAT(E178,". ",D178," ",G178," (",I178,")")</f>
        <v>5. INT A Inglés V (5)</v>
      </c>
      <c r="D178" s="77" t="s">
        <v>443</v>
      </c>
      <c r="E178" s="77" t="n">
        <v>5</v>
      </c>
      <c r="F178" s="77" t="n">
        <v>1</v>
      </c>
      <c r="G178" s="78" t="s">
        <v>444</v>
      </c>
      <c r="H178" s="78" t="s">
        <v>445</v>
      </c>
      <c r="I178" s="77" t="n">
        <v>5</v>
      </c>
    </row>
    <row r="179" customFormat="false" ht="15" hidden="false" customHeight="false" outlineLevel="0" collapsed="false">
      <c r="A179" s="70" t="n">
        <v>177</v>
      </c>
      <c r="B179" s="77" t="n">
        <v>7</v>
      </c>
      <c r="C179" s="73" t="str">
        <f aca="false">_xlfn.CONCAT(E179,". ",D179," ",G179," (",I179,")")</f>
        <v>5. INT A Lengua Extranjera – Chino I (5)</v>
      </c>
      <c r="D179" s="77" t="s">
        <v>443</v>
      </c>
      <c r="E179" s="77" t="n">
        <v>5</v>
      </c>
      <c r="F179" s="77" t="n">
        <v>2</v>
      </c>
      <c r="G179" s="78" t="s">
        <v>446</v>
      </c>
      <c r="H179" s="78" t="s">
        <v>447</v>
      </c>
      <c r="I179" s="77" t="n">
        <v>5</v>
      </c>
    </row>
    <row r="180" customFormat="false" ht="15" hidden="false" customHeight="false" outlineLevel="0" collapsed="false">
      <c r="A180" s="70" t="n">
        <v>178</v>
      </c>
      <c r="B180" s="77" t="n">
        <v>7</v>
      </c>
      <c r="C180" s="73" t="str">
        <f aca="false">_xlfn.CONCAT(E180,". ",D180," ",G180," (",I180,")")</f>
        <v>5. INT A Terminología Especializada en Economía Inglés Español (3)</v>
      </c>
      <c r="D180" s="77" t="s">
        <v>443</v>
      </c>
      <c r="E180" s="77" t="n">
        <v>5</v>
      </c>
      <c r="F180" s="77" t="n">
        <v>3</v>
      </c>
      <c r="G180" s="78" t="s">
        <v>448</v>
      </c>
      <c r="H180" s="78" t="s">
        <v>449</v>
      </c>
      <c r="I180" s="77" t="n">
        <v>3</v>
      </c>
    </row>
    <row r="181" customFormat="false" ht="15" hidden="false" customHeight="false" outlineLevel="0" collapsed="false">
      <c r="A181" s="70" t="n">
        <v>179</v>
      </c>
      <c r="B181" s="77" t="n">
        <v>7</v>
      </c>
      <c r="C181" s="73" t="str">
        <f aca="false">_xlfn.CONCAT(E181,". ",D181," ",G181," (",I181,")")</f>
        <v>5. INT A Taller de Traducción Económica y Mercados Bursátiles (6)</v>
      </c>
      <c r="D181" s="77" t="s">
        <v>443</v>
      </c>
      <c r="E181" s="77" t="n">
        <v>5</v>
      </c>
      <c r="F181" s="77" t="n">
        <v>4</v>
      </c>
      <c r="G181" s="78" t="s">
        <v>450</v>
      </c>
      <c r="H181" s="78" t="s">
        <v>451</v>
      </c>
      <c r="I181" s="77" t="n">
        <v>6</v>
      </c>
    </row>
    <row r="182" customFormat="false" ht="15" hidden="false" customHeight="false" outlineLevel="0" collapsed="false">
      <c r="A182" s="70" t="n">
        <v>180</v>
      </c>
      <c r="B182" s="77" t="n">
        <v>7</v>
      </c>
      <c r="C182" s="73" t="str">
        <f aca="false">_xlfn.CONCAT(E182,". ",D182," ",G182," (",I182,")")</f>
        <v>5. INT A Taller de Interpretación Simultánea y Consecutiva Económica y Mercados Bursátiles (5)</v>
      </c>
      <c r="D182" s="77" t="s">
        <v>443</v>
      </c>
      <c r="E182" s="77" t="n">
        <v>5</v>
      </c>
      <c r="F182" s="77" t="n">
        <v>5</v>
      </c>
      <c r="G182" s="78" t="s">
        <v>452</v>
      </c>
      <c r="H182" s="78" t="s">
        <v>453</v>
      </c>
      <c r="I182" s="77" t="n">
        <v>5</v>
      </c>
    </row>
    <row r="183" customFormat="false" ht="15" hidden="false" customHeight="false" outlineLevel="0" collapsed="false">
      <c r="A183" s="70" t="n">
        <v>181</v>
      </c>
      <c r="B183" s="77" t="n">
        <v>7</v>
      </c>
      <c r="C183" s="73" t="str">
        <f aca="false">_xlfn.CONCAT(E183,". ",D183," ",G183," (",I183,")")</f>
        <v>5. INT B Inglés V (5)</v>
      </c>
      <c r="D183" s="77" t="s">
        <v>454</v>
      </c>
      <c r="E183" s="77" t="n">
        <v>5</v>
      </c>
      <c r="F183" s="77" t="n">
        <v>1</v>
      </c>
      <c r="G183" s="78" t="s">
        <v>444</v>
      </c>
      <c r="H183" s="78" t="s">
        <v>455</v>
      </c>
      <c r="I183" s="77" t="n">
        <v>5</v>
      </c>
    </row>
    <row r="184" customFormat="false" ht="15" hidden="false" customHeight="false" outlineLevel="0" collapsed="false">
      <c r="A184" s="70" t="n">
        <v>182</v>
      </c>
      <c r="B184" s="77" t="n">
        <v>7</v>
      </c>
      <c r="C184" s="73" t="str">
        <f aca="false">_xlfn.CONCAT(E184,". ",D184," ",G184," (",I184,")")</f>
        <v>5. INT B Lengua Extranjera – Chino I (5)</v>
      </c>
      <c r="D184" s="77" t="s">
        <v>454</v>
      </c>
      <c r="E184" s="77" t="n">
        <v>5</v>
      </c>
      <c r="F184" s="77" t="n">
        <v>2</v>
      </c>
      <c r="G184" s="78" t="s">
        <v>446</v>
      </c>
      <c r="H184" s="78" t="s">
        <v>456</v>
      </c>
      <c r="I184" s="77" t="n">
        <v>5</v>
      </c>
    </row>
    <row r="185" customFormat="false" ht="15" hidden="false" customHeight="false" outlineLevel="0" collapsed="false">
      <c r="A185" s="70" t="n">
        <v>183</v>
      </c>
      <c r="B185" s="77" t="n">
        <v>7</v>
      </c>
      <c r="C185" s="73" t="str">
        <f aca="false">_xlfn.CONCAT(E185,". ",D185," ",G185," (",I185,")")</f>
        <v>5. INT B Terminología Especializada en Economía Inglés Español (3)</v>
      </c>
      <c r="D185" s="77" t="s">
        <v>454</v>
      </c>
      <c r="E185" s="77" t="n">
        <v>5</v>
      </c>
      <c r="F185" s="77" t="n">
        <v>3</v>
      </c>
      <c r="G185" s="78" t="s">
        <v>448</v>
      </c>
      <c r="H185" s="78" t="s">
        <v>457</v>
      </c>
      <c r="I185" s="77" t="n">
        <v>3</v>
      </c>
    </row>
    <row r="186" customFormat="false" ht="15" hidden="false" customHeight="false" outlineLevel="0" collapsed="false">
      <c r="A186" s="70" t="n">
        <v>184</v>
      </c>
      <c r="B186" s="77" t="n">
        <v>7</v>
      </c>
      <c r="C186" s="73" t="str">
        <f aca="false">_xlfn.CONCAT(E186,". ",D186," ",G186," (",I186,")")</f>
        <v>5. INT B Taller de Traducción Económica y Mercados Bursátiles (6)</v>
      </c>
      <c r="D186" s="77" t="s">
        <v>454</v>
      </c>
      <c r="E186" s="77" t="n">
        <v>5</v>
      </c>
      <c r="F186" s="77" t="n">
        <v>4</v>
      </c>
      <c r="G186" s="78" t="s">
        <v>450</v>
      </c>
      <c r="H186" s="78" t="s">
        <v>458</v>
      </c>
      <c r="I186" s="77" t="n">
        <v>6</v>
      </c>
    </row>
    <row r="187" customFormat="false" ht="15" hidden="false" customHeight="false" outlineLevel="0" collapsed="false">
      <c r="A187" s="70" t="n">
        <v>185</v>
      </c>
      <c r="B187" s="77" t="n">
        <v>7</v>
      </c>
      <c r="C187" s="73" t="str">
        <f aca="false">_xlfn.CONCAT(E187,". ",D187," ",G187," (",I187,")")</f>
        <v>5. INT B Taller de Interpretación Simultánea y Consecutiva Económica y Mercados Bursátiles (5)</v>
      </c>
      <c r="D187" s="77" t="s">
        <v>454</v>
      </c>
      <c r="E187" s="77" t="n">
        <v>5</v>
      </c>
      <c r="F187" s="77" t="n">
        <v>5</v>
      </c>
      <c r="G187" s="78" t="s">
        <v>452</v>
      </c>
      <c r="H187" s="78" t="s">
        <v>459</v>
      </c>
      <c r="I187" s="77" t="n">
        <v>5</v>
      </c>
    </row>
    <row r="188" customFormat="false" ht="15" hidden="false" customHeight="false" outlineLevel="0" collapsed="false">
      <c r="A188" s="70" t="n">
        <v>186</v>
      </c>
      <c r="B188" s="77" t="n">
        <v>7</v>
      </c>
      <c r="C188" s="73" t="str">
        <f aca="false">_xlfn.CONCAT(E188,". ",D188," ",G188," (",I188,")")</f>
        <v>7. INT Inglés VII (5)</v>
      </c>
      <c r="D188" s="77" t="s">
        <v>415</v>
      </c>
      <c r="E188" s="77" t="n">
        <v>7</v>
      </c>
      <c r="F188" s="77" t="n">
        <v>1</v>
      </c>
      <c r="G188" s="78" t="s">
        <v>460</v>
      </c>
      <c r="H188" s="78" t="s">
        <v>461</v>
      </c>
      <c r="I188" s="77" t="n">
        <v>5</v>
      </c>
    </row>
    <row r="189" customFormat="false" ht="15" hidden="false" customHeight="false" outlineLevel="0" collapsed="false">
      <c r="A189" s="70" t="n">
        <v>187</v>
      </c>
      <c r="B189" s="77" t="n">
        <v>7</v>
      </c>
      <c r="C189" s="73" t="str">
        <f aca="false">_xlfn.CONCAT(E189,". ",D189," ",G189," (",I189,")")</f>
        <v>7. INT Lengua Extranjera – Chino III (5)</v>
      </c>
      <c r="D189" s="77" t="s">
        <v>415</v>
      </c>
      <c r="E189" s="77" t="n">
        <v>7</v>
      </c>
      <c r="F189" s="77" t="n">
        <v>2</v>
      </c>
      <c r="G189" s="78" t="s">
        <v>462</v>
      </c>
      <c r="H189" s="78" t="s">
        <v>463</v>
      </c>
      <c r="I189" s="77" t="n">
        <v>5</v>
      </c>
    </row>
    <row r="190" customFormat="false" ht="15" hidden="false" customHeight="false" outlineLevel="0" collapsed="false">
      <c r="A190" s="70" t="n">
        <v>188</v>
      </c>
      <c r="B190" s="77" t="n">
        <v>7</v>
      </c>
      <c r="C190" s="73" t="str">
        <f aca="false">_xlfn.CONCAT(E190,". ",D190," ",G190," (",I190,")")</f>
        <v>7. INT Terminología Especializada Jurídica Inglés-Español (3)</v>
      </c>
      <c r="D190" s="77" t="s">
        <v>415</v>
      </c>
      <c r="E190" s="77" t="n">
        <v>7</v>
      </c>
      <c r="F190" s="77" t="n">
        <v>3</v>
      </c>
      <c r="G190" s="78" t="s">
        <v>464</v>
      </c>
      <c r="H190" s="78" t="s">
        <v>465</v>
      </c>
      <c r="I190" s="77" t="n">
        <v>3</v>
      </c>
    </row>
    <row r="191" customFormat="false" ht="15" hidden="false" customHeight="false" outlineLevel="0" collapsed="false">
      <c r="A191" s="70" t="n">
        <v>189</v>
      </c>
      <c r="B191" s="77" t="n">
        <v>7</v>
      </c>
      <c r="C191" s="73" t="str">
        <f aca="false">_xlfn.CONCAT(E191,". ",D191," ",G191," (",I191,")")</f>
        <v>7. INT Taller de Traducción Legal I (6)</v>
      </c>
      <c r="D191" s="77" t="s">
        <v>415</v>
      </c>
      <c r="E191" s="77" t="n">
        <v>7</v>
      </c>
      <c r="F191" s="77" t="n">
        <v>4</v>
      </c>
      <c r="G191" s="78" t="s">
        <v>466</v>
      </c>
      <c r="H191" s="78" t="s">
        <v>467</v>
      </c>
      <c r="I191" s="77" t="n">
        <v>6</v>
      </c>
    </row>
    <row r="192" customFormat="false" ht="15" hidden="false" customHeight="false" outlineLevel="0" collapsed="false">
      <c r="A192" s="70" t="n">
        <v>190</v>
      </c>
      <c r="B192" s="77" t="n">
        <v>7</v>
      </c>
      <c r="C192" s="73" t="str">
        <f aca="false">_xlfn.CONCAT(E192,". ",D192," ",G192," (",I192,")")</f>
        <v>7. INT Taller de Interpretación Simultánea y Consecutiva Legal I (5)</v>
      </c>
      <c r="D192" s="77" t="s">
        <v>415</v>
      </c>
      <c r="E192" s="77" t="n">
        <v>7</v>
      </c>
      <c r="F192" s="77" t="n">
        <v>5</v>
      </c>
      <c r="G192" s="78" t="s">
        <v>468</v>
      </c>
      <c r="H192" s="78" t="s">
        <v>469</v>
      </c>
      <c r="I192" s="77" t="n">
        <v>5</v>
      </c>
    </row>
    <row r="193" customFormat="false" ht="15" hidden="false" customHeight="false" outlineLevel="0" collapsed="false">
      <c r="A193" s="70" t="n">
        <v>191</v>
      </c>
      <c r="B193" s="77" t="n">
        <v>7</v>
      </c>
      <c r="C193" s="73" t="str">
        <f aca="false">_xlfn.CONCAT(E193,". ",D193," ",G193," (",I193,")")</f>
        <v>8. INT A Inglés VIII (5)</v>
      </c>
      <c r="D193" s="77" t="s">
        <v>443</v>
      </c>
      <c r="E193" s="77" t="n">
        <v>8</v>
      </c>
      <c r="F193" s="77" t="n">
        <v>1</v>
      </c>
      <c r="G193" s="78" t="s">
        <v>470</v>
      </c>
      <c r="H193" s="78" t="s">
        <v>471</v>
      </c>
      <c r="I193" s="77" t="n">
        <v>5</v>
      </c>
    </row>
    <row r="194" customFormat="false" ht="15" hidden="false" customHeight="false" outlineLevel="0" collapsed="false">
      <c r="A194" s="70" t="n">
        <v>192</v>
      </c>
      <c r="B194" s="77" t="n">
        <v>7</v>
      </c>
      <c r="C194" s="73" t="str">
        <f aca="false">_xlfn.CONCAT(E194,". ",D194," ",G194," (",I194,")")</f>
        <v>8. INT A Lengua Extranjera Chino IV (5)</v>
      </c>
      <c r="D194" s="77" t="s">
        <v>443</v>
      </c>
      <c r="E194" s="77" t="n">
        <v>8</v>
      </c>
      <c r="F194" s="77" t="n">
        <v>2</v>
      </c>
      <c r="G194" s="78" t="s">
        <v>472</v>
      </c>
      <c r="H194" s="78" t="s">
        <v>473</v>
      </c>
      <c r="I194" s="77" t="n">
        <v>5</v>
      </c>
    </row>
    <row r="195" customFormat="false" ht="15" hidden="false" customHeight="false" outlineLevel="0" collapsed="false">
      <c r="A195" s="70" t="n">
        <v>193</v>
      </c>
      <c r="B195" s="77" t="n">
        <v>7</v>
      </c>
      <c r="C195" s="73" t="str">
        <f aca="false">_xlfn.CONCAT(E195,". ",D195," ",G195," (",I195,")")</f>
        <v>8. INT A Taller de Interpretación Simultánea y Consecutiva Legal II (5)</v>
      </c>
      <c r="D195" s="77" t="s">
        <v>443</v>
      </c>
      <c r="E195" s="77" t="n">
        <v>8</v>
      </c>
      <c r="F195" s="77" t="n">
        <v>3</v>
      </c>
      <c r="G195" s="78" t="s">
        <v>474</v>
      </c>
      <c r="H195" s="78" t="s">
        <v>475</v>
      </c>
      <c r="I195" s="77" t="n">
        <v>5</v>
      </c>
    </row>
    <row r="196" customFormat="false" ht="15" hidden="false" customHeight="false" outlineLevel="0" collapsed="false">
      <c r="A196" s="70" t="n">
        <v>194</v>
      </c>
      <c r="B196" s="77" t="n">
        <v>7</v>
      </c>
      <c r="C196" s="73" t="str">
        <f aca="false">_xlfn.CONCAT(E196,". ",D196," ",G196," (",I196,")")</f>
        <v>8. INT A Taller de Traducción Legal II (6)</v>
      </c>
      <c r="D196" s="77" t="s">
        <v>443</v>
      </c>
      <c r="E196" s="77" t="n">
        <v>8</v>
      </c>
      <c r="F196" s="77" t="n">
        <v>4</v>
      </c>
      <c r="G196" s="78" t="s">
        <v>476</v>
      </c>
      <c r="H196" s="78" t="s">
        <v>477</v>
      </c>
      <c r="I196" s="77" t="n">
        <v>6</v>
      </c>
    </row>
    <row r="197" customFormat="false" ht="15" hidden="false" customHeight="false" outlineLevel="0" collapsed="false">
      <c r="A197" s="70" t="n">
        <v>195</v>
      </c>
      <c r="B197" s="77" t="n">
        <v>7</v>
      </c>
      <c r="C197" s="73" t="str">
        <f aca="false">_xlfn.CONCAT(E197,". ",D197," ",G197," (",I197,")")</f>
        <v>8. INT A Emprendedurismo (2)</v>
      </c>
      <c r="D197" s="77" t="s">
        <v>443</v>
      </c>
      <c r="E197" s="77" t="n">
        <v>8</v>
      </c>
      <c r="F197" s="77" t="n">
        <v>5</v>
      </c>
      <c r="G197" s="78" t="s">
        <v>294</v>
      </c>
      <c r="H197" s="78" t="s">
        <v>382</v>
      </c>
      <c r="I197" s="77" t="n">
        <v>2</v>
      </c>
    </row>
    <row r="198" customFormat="false" ht="15" hidden="false" customHeight="false" outlineLevel="0" collapsed="false">
      <c r="A198" s="70" t="n">
        <v>196</v>
      </c>
      <c r="B198" s="77" t="n">
        <v>7</v>
      </c>
      <c r="C198" s="73" t="str">
        <f aca="false">_xlfn.CONCAT(E198,". ",D198," ",G198," (",I198,")")</f>
        <v>8. INT B Inglés VIII (5)</v>
      </c>
      <c r="D198" s="77" t="s">
        <v>454</v>
      </c>
      <c r="E198" s="77" t="n">
        <v>8</v>
      </c>
      <c r="F198" s="77" t="n">
        <v>1</v>
      </c>
      <c r="G198" s="78" t="s">
        <v>470</v>
      </c>
      <c r="H198" s="78" t="s">
        <v>478</v>
      </c>
      <c r="I198" s="77" t="n">
        <v>5</v>
      </c>
    </row>
    <row r="199" customFormat="false" ht="15" hidden="false" customHeight="false" outlineLevel="0" collapsed="false">
      <c r="A199" s="70" t="n">
        <v>197</v>
      </c>
      <c r="B199" s="77" t="n">
        <v>7</v>
      </c>
      <c r="C199" s="73" t="str">
        <f aca="false">_xlfn.CONCAT(E199,". ",D199," ",G199," (",I199,")")</f>
        <v>8. INT B Lengua Extranjera Chino IV (5)</v>
      </c>
      <c r="D199" s="77" t="s">
        <v>454</v>
      </c>
      <c r="E199" s="77" t="n">
        <v>8</v>
      </c>
      <c r="F199" s="77" t="n">
        <v>2</v>
      </c>
      <c r="G199" s="78" t="s">
        <v>472</v>
      </c>
      <c r="H199" s="78" t="s">
        <v>479</v>
      </c>
      <c r="I199" s="77" t="n">
        <v>5</v>
      </c>
    </row>
    <row r="200" customFormat="false" ht="15" hidden="false" customHeight="false" outlineLevel="0" collapsed="false">
      <c r="A200" s="70" t="n">
        <v>198</v>
      </c>
      <c r="B200" s="77" t="n">
        <v>7</v>
      </c>
      <c r="C200" s="73" t="str">
        <f aca="false">_xlfn.CONCAT(E200,". ",D200," ",G200," (",I200,")")</f>
        <v>8. INT B Taller de Interpretación Simultánea y Consecutiva Legal II (5)</v>
      </c>
      <c r="D200" s="77" t="s">
        <v>454</v>
      </c>
      <c r="E200" s="77" t="n">
        <v>8</v>
      </c>
      <c r="F200" s="77" t="n">
        <v>3</v>
      </c>
      <c r="G200" s="78" t="s">
        <v>474</v>
      </c>
      <c r="H200" s="78" t="s">
        <v>480</v>
      </c>
      <c r="I200" s="77" t="n">
        <v>5</v>
      </c>
    </row>
    <row r="201" customFormat="false" ht="15" hidden="false" customHeight="false" outlineLevel="0" collapsed="false">
      <c r="A201" s="70" t="n">
        <v>199</v>
      </c>
      <c r="B201" s="77" t="n">
        <v>7</v>
      </c>
      <c r="C201" s="73" t="str">
        <f aca="false">_xlfn.CONCAT(E201,". ",D201," ",G201," (",I201,")")</f>
        <v>8. INT B Taller de Traducción Legal II (6)</v>
      </c>
      <c r="D201" s="77" t="s">
        <v>454</v>
      </c>
      <c r="E201" s="77" t="n">
        <v>8</v>
      </c>
      <c r="F201" s="77" t="n">
        <v>4</v>
      </c>
      <c r="G201" s="78" t="s">
        <v>476</v>
      </c>
      <c r="H201" s="78" t="s">
        <v>481</v>
      </c>
      <c r="I201" s="77" t="n">
        <v>6</v>
      </c>
    </row>
    <row r="202" customFormat="false" ht="15" hidden="false" customHeight="false" outlineLevel="0" collapsed="false">
      <c r="A202" s="70" t="n">
        <v>200</v>
      </c>
      <c r="B202" s="77" t="n">
        <v>7</v>
      </c>
      <c r="C202" s="73" t="str">
        <f aca="false">_xlfn.CONCAT(E202,". ",D202," ",G202," (",I202,")")</f>
        <v>8. INT B Emprendedurismo (2)</v>
      </c>
      <c r="D202" s="77" t="s">
        <v>454</v>
      </c>
      <c r="E202" s="77" t="n">
        <v>8</v>
      </c>
      <c r="F202" s="77" t="n">
        <v>5</v>
      </c>
      <c r="G202" s="78" t="s">
        <v>294</v>
      </c>
      <c r="H202" s="78" t="s">
        <v>387</v>
      </c>
      <c r="I202" s="77" t="n">
        <v>2</v>
      </c>
    </row>
    <row r="203" customFormat="false" ht="15" hidden="false" customHeight="false" outlineLevel="0" collapsed="false">
      <c r="A203" s="70" t="n">
        <v>201</v>
      </c>
      <c r="B203" s="77" t="n">
        <v>7</v>
      </c>
      <c r="C203" s="73" t="str">
        <f aca="false">_xlfn.CONCAT(E203,". ",D203," ",G203," (",I203,")")</f>
        <v>8. INT C Inglés VIII (5)</v>
      </c>
      <c r="D203" s="77" t="s">
        <v>482</v>
      </c>
      <c r="E203" s="77" t="n">
        <v>8</v>
      </c>
      <c r="F203" s="77" t="n">
        <v>1</v>
      </c>
      <c r="G203" s="78" t="s">
        <v>470</v>
      </c>
      <c r="H203" s="78" t="s">
        <v>483</v>
      </c>
      <c r="I203" s="77" t="n">
        <v>5</v>
      </c>
    </row>
    <row r="204" customFormat="false" ht="15" hidden="false" customHeight="false" outlineLevel="0" collapsed="false">
      <c r="A204" s="70" t="n">
        <v>202</v>
      </c>
      <c r="B204" s="77" t="n">
        <v>7</v>
      </c>
      <c r="C204" s="73" t="str">
        <f aca="false">_xlfn.CONCAT(E204,". ",D204," ",G204," (",I204,")")</f>
        <v>8. INT C Lengua Extranjera Chino IV (5)</v>
      </c>
      <c r="D204" s="77" t="s">
        <v>482</v>
      </c>
      <c r="E204" s="77" t="n">
        <v>8</v>
      </c>
      <c r="F204" s="77" t="n">
        <v>2</v>
      </c>
      <c r="G204" s="78" t="s">
        <v>472</v>
      </c>
      <c r="H204" s="78" t="s">
        <v>484</v>
      </c>
      <c r="I204" s="77" t="n">
        <v>5</v>
      </c>
    </row>
    <row r="205" customFormat="false" ht="15" hidden="false" customHeight="false" outlineLevel="0" collapsed="false">
      <c r="A205" s="70" t="n">
        <v>203</v>
      </c>
      <c r="B205" s="77" t="n">
        <v>7</v>
      </c>
      <c r="C205" s="73" t="str">
        <f aca="false">_xlfn.CONCAT(E205,". ",D205," ",G205," (",I205,")")</f>
        <v>8. INT C Taller de Interpretación Simultánea y Consecutiva Legal II (5)</v>
      </c>
      <c r="D205" s="77" t="s">
        <v>482</v>
      </c>
      <c r="E205" s="77" t="n">
        <v>8</v>
      </c>
      <c r="F205" s="77" t="n">
        <v>3</v>
      </c>
      <c r="G205" s="78" t="s">
        <v>474</v>
      </c>
      <c r="H205" s="78" t="s">
        <v>485</v>
      </c>
      <c r="I205" s="77" t="n">
        <v>5</v>
      </c>
    </row>
    <row r="206" customFormat="false" ht="15" hidden="false" customHeight="false" outlineLevel="0" collapsed="false">
      <c r="A206" s="70" t="n">
        <v>204</v>
      </c>
      <c r="B206" s="77" t="n">
        <v>7</v>
      </c>
      <c r="C206" s="73" t="str">
        <f aca="false">_xlfn.CONCAT(E206,". ",D206," ",G206," (",I206,")")</f>
        <v>8. INT C Taller de Traducción Legal II (6)</v>
      </c>
      <c r="D206" s="77" t="s">
        <v>482</v>
      </c>
      <c r="E206" s="77" t="n">
        <v>8</v>
      </c>
      <c r="F206" s="77" t="n">
        <v>4</v>
      </c>
      <c r="G206" s="78" t="s">
        <v>476</v>
      </c>
      <c r="H206" s="78" t="s">
        <v>486</v>
      </c>
      <c r="I206" s="77" t="n">
        <v>6</v>
      </c>
    </row>
    <row r="207" customFormat="false" ht="15" hidden="false" customHeight="false" outlineLevel="0" collapsed="false">
      <c r="A207" s="70" t="n">
        <v>205</v>
      </c>
      <c r="B207" s="77" t="n">
        <v>7</v>
      </c>
      <c r="C207" s="73" t="str">
        <f aca="false">_xlfn.CONCAT(E207,". ",D207," ",G207," (",I207,")")</f>
        <v>8. INT C Emprendedurismo (2)</v>
      </c>
      <c r="D207" s="77" t="s">
        <v>482</v>
      </c>
      <c r="E207" s="77" t="n">
        <v>8</v>
      </c>
      <c r="F207" s="77" t="n">
        <v>5</v>
      </c>
      <c r="G207" s="78" t="s">
        <v>294</v>
      </c>
      <c r="H207" s="78" t="s">
        <v>487</v>
      </c>
      <c r="I207" s="77" t="n">
        <v>2</v>
      </c>
    </row>
    <row r="208" customFormat="false" ht="15" hidden="false" customHeight="false" outlineLevel="0" collapsed="false">
      <c r="A208" s="70" t="n">
        <v>206</v>
      </c>
      <c r="B208" s="77" t="n">
        <v>7</v>
      </c>
      <c r="C208" s="73" t="str">
        <f aca="false">_xlfn.CONCAT(E208,". ",D208," ",G208," (",I208,")")</f>
        <v>9. INT Inglés IX (4)</v>
      </c>
      <c r="D208" s="77" t="s">
        <v>415</v>
      </c>
      <c r="E208" s="77" t="n">
        <v>9</v>
      </c>
      <c r="F208" s="77" t="n">
        <v>1</v>
      </c>
      <c r="G208" s="78" t="s">
        <v>488</v>
      </c>
      <c r="H208" s="78" t="s">
        <v>489</v>
      </c>
      <c r="I208" s="77" t="n">
        <v>4</v>
      </c>
    </row>
    <row r="209" customFormat="false" ht="15" hidden="false" customHeight="false" outlineLevel="0" collapsed="false">
      <c r="A209" s="70" t="n">
        <v>207</v>
      </c>
      <c r="B209" s="77" t="n">
        <v>7</v>
      </c>
      <c r="C209" s="73" t="str">
        <f aca="false">_xlfn.CONCAT(E209,". ",D209," ",G209," (",I209,")")</f>
        <v>9. INT Taller de Traducción de Chino  – Español (5)</v>
      </c>
      <c r="D209" s="77" t="s">
        <v>415</v>
      </c>
      <c r="E209" s="77" t="n">
        <v>9</v>
      </c>
      <c r="F209" s="77" t="n">
        <v>2</v>
      </c>
      <c r="G209" s="78" t="s">
        <v>490</v>
      </c>
      <c r="H209" s="78" t="s">
        <v>491</v>
      </c>
      <c r="I209" s="77" t="n">
        <v>5</v>
      </c>
    </row>
    <row r="210" customFormat="false" ht="15" hidden="false" customHeight="false" outlineLevel="0" collapsed="false">
      <c r="A210" s="70" t="n">
        <v>208</v>
      </c>
      <c r="B210" s="77" t="n">
        <v>7</v>
      </c>
      <c r="C210" s="73" t="str">
        <f aca="false">_xlfn.CONCAT(E210,". ",D210," ",G210," (",I210,")")</f>
        <v>9. INT Terminología Especializada en Mercadotecnia y Diseño Inglés-Español (3)</v>
      </c>
      <c r="D210" s="77" t="s">
        <v>415</v>
      </c>
      <c r="E210" s="77" t="n">
        <v>9</v>
      </c>
      <c r="F210" s="77" t="n">
        <v>3</v>
      </c>
      <c r="G210" s="78" t="s">
        <v>492</v>
      </c>
      <c r="H210" s="78" t="s">
        <v>493</v>
      </c>
      <c r="I210" s="77" t="n">
        <v>3</v>
      </c>
    </row>
    <row r="211" customFormat="false" ht="15" hidden="false" customHeight="false" outlineLevel="0" collapsed="false">
      <c r="A211" s="70" t="n">
        <v>209</v>
      </c>
      <c r="B211" s="77" t="n">
        <v>7</v>
      </c>
      <c r="C211" s="73" t="str">
        <f aca="false">_xlfn.CONCAT(E211,". ",D211," ",G211," (",I211,")")</f>
        <v>9. INT Taller de Traducción de Textos Especializados I (6)</v>
      </c>
      <c r="D211" s="77" t="s">
        <v>415</v>
      </c>
      <c r="E211" s="77" t="n">
        <v>9</v>
      </c>
      <c r="F211" s="77" t="n">
        <v>4</v>
      </c>
      <c r="G211" s="78" t="s">
        <v>494</v>
      </c>
      <c r="H211" s="78" t="s">
        <v>495</v>
      </c>
      <c r="I211" s="77" t="n">
        <v>6</v>
      </c>
    </row>
    <row r="212" customFormat="false" ht="15" hidden="false" customHeight="false" outlineLevel="0" collapsed="false">
      <c r="A212" s="70" t="n">
        <v>210</v>
      </c>
      <c r="B212" s="77" t="n">
        <v>7</v>
      </c>
      <c r="C212" s="73" t="str">
        <f aca="false">_xlfn.CONCAT(E212,". ",D212," ",G212," (",I212,")")</f>
        <v>9. INT Taller de Interpretación Simultánea y Consecutiva en Mercadotecnia y Diseño (5)</v>
      </c>
      <c r="D212" s="77" t="s">
        <v>415</v>
      </c>
      <c r="E212" s="77" t="n">
        <v>9</v>
      </c>
      <c r="F212" s="77" t="n">
        <v>5</v>
      </c>
      <c r="G212" s="78" t="s">
        <v>496</v>
      </c>
      <c r="H212" s="78" t="s">
        <v>497</v>
      </c>
      <c r="I212" s="77" t="n">
        <v>5</v>
      </c>
    </row>
    <row r="213" customFormat="false" ht="15" hidden="false" customHeight="false" outlineLevel="0" collapsed="false">
      <c r="A213" s="70" t="n">
        <v>211</v>
      </c>
      <c r="B213" s="77" t="n">
        <v>7</v>
      </c>
      <c r="C213" s="73" t="str">
        <f aca="false">_xlfn.CONCAT(E213,". ",D213," ",G213," (",I213,")")</f>
        <v>10. INT  Inglés X (4)</v>
      </c>
      <c r="D213" s="77" t="s">
        <v>415</v>
      </c>
      <c r="E213" s="77" t="n">
        <v>10</v>
      </c>
      <c r="F213" s="77" t="n">
        <v>1</v>
      </c>
      <c r="G213" s="78" t="s">
        <v>498</v>
      </c>
      <c r="H213" s="78" t="s">
        <v>499</v>
      </c>
      <c r="I213" s="77" t="n">
        <v>4</v>
      </c>
    </row>
    <row r="214" customFormat="false" ht="15" hidden="false" customHeight="false" outlineLevel="0" collapsed="false">
      <c r="A214" s="70" t="n">
        <v>212</v>
      </c>
      <c r="B214" s="77" t="n">
        <v>7</v>
      </c>
      <c r="C214" s="73" t="str">
        <f aca="false">_xlfn.CONCAT(E214,". ",D214," ",G214," (",I214,")")</f>
        <v>10. INT Taller de Interpretación Consecutiva y Simultánea Chino  – Español (5)</v>
      </c>
      <c r="D214" s="77" t="s">
        <v>415</v>
      </c>
      <c r="E214" s="77" t="n">
        <v>10</v>
      </c>
      <c r="F214" s="77" t="n">
        <v>2</v>
      </c>
      <c r="G214" s="78" t="s">
        <v>500</v>
      </c>
      <c r="H214" s="78" t="s">
        <v>501</v>
      </c>
      <c r="I214" s="77" t="n">
        <v>5</v>
      </c>
    </row>
    <row r="215" customFormat="false" ht="15" hidden="false" customHeight="false" outlineLevel="0" collapsed="false">
      <c r="A215" s="70" t="n">
        <v>213</v>
      </c>
      <c r="B215" s="77" t="n">
        <v>7</v>
      </c>
      <c r="C215" s="73" t="str">
        <f aca="false">_xlfn.CONCAT(E215,". ",D215," ",G215," (",I215,")")</f>
        <v>10. INT Terminología Especializada en Humanidades Inglés – Español (3)</v>
      </c>
      <c r="D215" s="77" t="s">
        <v>415</v>
      </c>
      <c r="E215" s="77" t="n">
        <v>10</v>
      </c>
      <c r="F215" s="77" t="n">
        <v>3</v>
      </c>
      <c r="G215" s="78" t="s">
        <v>502</v>
      </c>
      <c r="H215" s="78" t="s">
        <v>503</v>
      </c>
      <c r="I215" s="77" t="n">
        <v>3</v>
      </c>
    </row>
    <row r="216" customFormat="false" ht="15" hidden="false" customHeight="false" outlineLevel="0" collapsed="false">
      <c r="A216" s="70" t="n">
        <v>214</v>
      </c>
      <c r="B216" s="77" t="n">
        <v>7</v>
      </c>
      <c r="C216" s="73" t="str">
        <f aca="false">_xlfn.CONCAT(E216,". ",D216," ",G216," (",I216,")")</f>
        <v>10. INT Taller de Traducción de Textos Especializados II (6)</v>
      </c>
      <c r="D216" s="77" t="s">
        <v>415</v>
      </c>
      <c r="E216" s="77" t="n">
        <v>10</v>
      </c>
      <c r="F216" s="77" t="n">
        <v>4</v>
      </c>
      <c r="G216" s="78" t="s">
        <v>504</v>
      </c>
      <c r="H216" s="78" t="s">
        <v>505</v>
      </c>
      <c r="I216" s="77" t="n">
        <v>6</v>
      </c>
    </row>
    <row r="217" customFormat="false" ht="15" hidden="false" customHeight="false" outlineLevel="0" collapsed="false">
      <c r="A217" s="70" t="n">
        <v>215</v>
      </c>
      <c r="B217" s="77" t="n">
        <v>7</v>
      </c>
      <c r="C217" s="73" t="str">
        <f aca="false">_xlfn.CONCAT(E217,". ",D217," ",G217," (",I217,")")</f>
        <v>10. INT Taller de Interpretación Simultánea y Consecutiva de Conferencias (5)</v>
      </c>
      <c r="D217" s="77" t="s">
        <v>415</v>
      </c>
      <c r="E217" s="77" t="n">
        <v>10</v>
      </c>
      <c r="F217" s="77" t="n">
        <v>5</v>
      </c>
      <c r="G217" s="78" t="s">
        <v>506</v>
      </c>
      <c r="H217" s="78" t="s">
        <v>507</v>
      </c>
      <c r="I217" s="77" t="n">
        <v>5</v>
      </c>
    </row>
    <row r="218" customFormat="false" ht="15" hidden="false" customHeight="false" outlineLevel="0" collapsed="false">
      <c r="A218" s="70" t="n">
        <v>216</v>
      </c>
      <c r="B218" s="74" t="n">
        <v>8</v>
      </c>
      <c r="C218" s="73" t="str">
        <f aca="false">_xlfn.CONCAT(E218,". ",D218," ",G218," (",I218,")")</f>
        <v>1. MKT Introducción a la Mercadotecnia (6)</v>
      </c>
      <c r="D218" s="74" t="s">
        <v>508</v>
      </c>
      <c r="E218" s="74" t="n">
        <v>1</v>
      </c>
      <c r="F218" s="74" t="n">
        <v>1</v>
      </c>
      <c r="G218" s="75" t="s">
        <v>509</v>
      </c>
      <c r="H218" s="75" t="s">
        <v>510</v>
      </c>
      <c r="I218" s="74" t="n">
        <v>6</v>
      </c>
    </row>
    <row r="219" customFormat="false" ht="15" hidden="false" customHeight="false" outlineLevel="0" collapsed="false">
      <c r="A219" s="70" t="n">
        <v>217</v>
      </c>
      <c r="B219" s="74" t="n">
        <v>8</v>
      </c>
      <c r="C219" s="73" t="str">
        <f aca="false">_xlfn.CONCAT(E219,". ",D219," ",G219," (",I219,")")</f>
        <v>1. MKT Comunicación Gráfica Digital (6)</v>
      </c>
      <c r="D219" s="74" t="s">
        <v>508</v>
      </c>
      <c r="E219" s="74" t="n">
        <v>1</v>
      </c>
      <c r="F219" s="74" t="n">
        <v>2</v>
      </c>
      <c r="G219" s="75" t="s">
        <v>511</v>
      </c>
      <c r="H219" s="75" t="s">
        <v>512</v>
      </c>
      <c r="I219" s="74" t="n">
        <v>6</v>
      </c>
    </row>
    <row r="220" customFormat="false" ht="15" hidden="false" customHeight="false" outlineLevel="0" collapsed="false">
      <c r="A220" s="70" t="n">
        <v>218</v>
      </c>
      <c r="B220" s="74" t="n">
        <v>8</v>
      </c>
      <c r="C220" s="73" t="str">
        <f aca="false">_xlfn.CONCAT(E220,". ",D220," ",G220," (",I220,")")</f>
        <v>1. MKT Fundamentos de Administración (3)</v>
      </c>
      <c r="D220" s="74" t="s">
        <v>508</v>
      </c>
      <c r="E220" s="74" t="n">
        <v>1</v>
      </c>
      <c r="F220" s="74" t="n">
        <v>3</v>
      </c>
      <c r="G220" s="75" t="s">
        <v>513</v>
      </c>
      <c r="H220" s="75" t="s">
        <v>514</v>
      </c>
      <c r="I220" s="74" t="n">
        <v>3</v>
      </c>
    </row>
    <row r="221" customFormat="false" ht="15" hidden="false" customHeight="false" outlineLevel="0" collapsed="false">
      <c r="A221" s="70" t="n">
        <v>219</v>
      </c>
      <c r="B221" s="74" t="n">
        <v>8</v>
      </c>
      <c r="C221" s="73" t="str">
        <f aca="false">_xlfn.CONCAT(E221,". ",D221," ",G221," (",I221,")")</f>
        <v>1. MKT Fundamentos de Contabilidad (3)</v>
      </c>
      <c r="D221" s="74" t="s">
        <v>508</v>
      </c>
      <c r="E221" s="74" t="n">
        <v>1</v>
      </c>
      <c r="F221" s="74" t="n">
        <v>4</v>
      </c>
      <c r="G221" s="75" t="s">
        <v>515</v>
      </c>
      <c r="H221" s="75" t="s">
        <v>516</v>
      </c>
      <c r="I221" s="74" t="n">
        <v>3</v>
      </c>
    </row>
    <row r="222" customFormat="false" ht="15" hidden="false" customHeight="false" outlineLevel="0" collapsed="false">
      <c r="A222" s="70" t="n">
        <v>220</v>
      </c>
      <c r="B222" s="74" t="n">
        <v>8</v>
      </c>
      <c r="C222" s="73" t="str">
        <f aca="false">_xlfn.CONCAT(E222,". ",D222," ",G222," (",I222,")")</f>
        <v>1. MKT Taller de Redacción (4)</v>
      </c>
      <c r="D222" s="74" t="s">
        <v>508</v>
      </c>
      <c r="E222" s="74" t="n">
        <v>1</v>
      </c>
      <c r="F222" s="74" t="n">
        <v>5</v>
      </c>
      <c r="G222" s="75" t="s">
        <v>243</v>
      </c>
      <c r="H222" s="75" t="s">
        <v>517</v>
      </c>
      <c r="I222" s="74" t="n">
        <v>4</v>
      </c>
    </row>
    <row r="223" customFormat="false" ht="15" hidden="false" customHeight="false" outlineLevel="0" collapsed="false">
      <c r="A223" s="70" t="n">
        <v>221</v>
      </c>
      <c r="B223" s="74" t="n">
        <v>8</v>
      </c>
      <c r="C223" s="73" t="str">
        <f aca="false">_xlfn.CONCAT(E223,". ",D223," ",G223," (",I223,")")</f>
        <v>2. MKT Fundamentos de Investigación de Mercados (6)</v>
      </c>
      <c r="D223" s="74" t="s">
        <v>508</v>
      </c>
      <c r="E223" s="74" t="n">
        <v>2</v>
      </c>
      <c r="F223" s="74" t="n">
        <v>1</v>
      </c>
      <c r="G223" s="75" t="s">
        <v>518</v>
      </c>
      <c r="H223" s="75" t="s">
        <v>519</v>
      </c>
      <c r="I223" s="74" t="n">
        <v>6</v>
      </c>
    </row>
    <row r="224" customFormat="false" ht="15" hidden="false" customHeight="false" outlineLevel="0" collapsed="false">
      <c r="A224" s="70" t="n">
        <v>222</v>
      </c>
      <c r="B224" s="74" t="n">
        <v>8</v>
      </c>
      <c r="C224" s="73" t="str">
        <f aca="false">_xlfn.CONCAT(E224,". ",D224," ",G224," (",I224,")")</f>
        <v>2. MKT Mezcla Promocional (4)</v>
      </c>
      <c r="D224" s="74" t="s">
        <v>508</v>
      </c>
      <c r="E224" s="74" t="n">
        <v>2</v>
      </c>
      <c r="F224" s="74" t="n">
        <v>2</v>
      </c>
      <c r="G224" s="75" t="s">
        <v>520</v>
      </c>
      <c r="H224" s="75" t="s">
        <v>521</v>
      </c>
      <c r="I224" s="74" t="n">
        <v>4</v>
      </c>
    </row>
    <row r="225" customFormat="false" ht="15" hidden="false" customHeight="false" outlineLevel="0" collapsed="false">
      <c r="A225" s="70" t="n">
        <v>223</v>
      </c>
      <c r="B225" s="74" t="n">
        <v>8</v>
      </c>
      <c r="C225" s="73" t="str">
        <f aca="false">_xlfn.CONCAT(E225,". ",D225," ",G225," (",I225,")")</f>
        <v>2. MKT Comunicación y Medios Digitales (6)</v>
      </c>
      <c r="D225" s="74" t="s">
        <v>508</v>
      </c>
      <c r="E225" s="74" t="n">
        <v>2</v>
      </c>
      <c r="F225" s="74" t="n">
        <v>3</v>
      </c>
      <c r="G225" s="75" t="s">
        <v>522</v>
      </c>
      <c r="H225" s="75" t="s">
        <v>523</v>
      </c>
      <c r="I225" s="74" t="n">
        <v>6</v>
      </c>
    </row>
    <row r="226" customFormat="false" ht="15" hidden="false" customHeight="false" outlineLevel="0" collapsed="false">
      <c r="A226" s="70" t="n">
        <v>224</v>
      </c>
      <c r="B226" s="74" t="n">
        <v>8</v>
      </c>
      <c r="C226" s="73" t="str">
        <f aca="false">_xlfn.CONCAT(E226,". ",D226," ",G226," (",I226,")")</f>
        <v>2. MKT Estrategia Descriptiva (4)</v>
      </c>
      <c r="D226" s="74" t="s">
        <v>508</v>
      </c>
      <c r="E226" s="74" t="n">
        <v>2</v>
      </c>
      <c r="F226" s="74" t="n">
        <v>4</v>
      </c>
      <c r="G226" s="75" t="s">
        <v>524</v>
      </c>
      <c r="H226" s="75" t="s">
        <v>525</v>
      </c>
      <c r="I226" s="74" t="n">
        <v>4</v>
      </c>
    </row>
    <row r="227" customFormat="false" ht="15" hidden="false" customHeight="false" outlineLevel="0" collapsed="false">
      <c r="A227" s="70" t="n">
        <v>225</v>
      </c>
      <c r="B227" s="74" t="n">
        <v>8</v>
      </c>
      <c r="C227" s="73" t="str">
        <f aca="false">_xlfn.CONCAT(E227,". ",D227," ",G227," (",I227,")")</f>
        <v>2. MKT Metología de la Investigación (2)</v>
      </c>
      <c r="D227" s="74" t="s">
        <v>508</v>
      </c>
      <c r="E227" s="74" t="n">
        <v>2</v>
      </c>
      <c r="F227" s="74" t="n">
        <v>5</v>
      </c>
      <c r="G227" s="75" t="s">
        <v>526</v>
      </c>
      <c r="H227" s="75" t="s">
        <v>256</v>
      </c>
      <c r="I227" s="74" t="n">
        <v>2</v>
      </c>
    </row>
    <row r="228" customFormat="false" ht="15" hidden="false" customHeight="false" outlineLevel="0" collapsed="false">
      <c r="A228" s="70" t="n">
        <v>226</v>
      </c>
      <c r="B228" s="74" t="n">
        <v>8</v>
      </c>
      <c r="C228" s="73" t="str">
        <f aca="false">_xlfn.CONCAT(E228,". ",D228," ",G228," (",I228,")")</f>
        <v>8. MKT Mercadotecnia de Servicios (4)</v>
      </c>
      <c r="D228" s="74" t="s">
        <v>508</v>
      </c>
      <c r="E228" s="74" t="n">
        <v>8</v>
      </c>
      <c r="F228" s="74" t="n">
        <v>1</v>
      </c>
      <c r="G228" s="75" t="s">
        <v>527</v>
      </c>
      <c r="H228" s="75" t="s">
        <v>528</v>
      </c>
      <c r="I228" s="74" t="n">
        <v>4</v>
      </c>
    </row>
    <row r="229" customFormat="false" ht="15" hidden="false" customHeight="false" outlineLevel="0" collapsed="false">
      <c r="A229" s="70" t="n">
        <v>227</v>
      </c>
      <c r="B229" s="74" t="n">
        <v>8</v>
      </c>
      <c r="C229" s="73" t="str">
        <f aca="false">_xlfn.CONCAT(E229,". ",D229," ",G229," (",I229,")")</f>
        <v>8. MKT Cartera de Clientes y Mercadotecnia Directa (6)</v>
      </c>
      <c r="D229" s="74" t="s">
        <v>508</v>
      </c>
      <c r="E229" s="74" t="n">
        <v>8</v>
      </c>
      <c r="F229" s="74" t="n">
        <v>2</v>
      </c>
      <c r="G229" s="75" t="s">
        <v>529</v>
      </c>
      <c r="H229" s="75" t="s">
        <v>530</v>
      </c>
      <c r="I229" s="74" t="n">
        <v>6</v>
      </c>
    </row>
    <row r="230" customFormat="false" ht="15" hidden="false" customHeight="false" outlineLevel="0" collapsed="false">
      <c r="A230" s="70" t="n">
        <v>228</v>
      </c>
      <c r="B230" s="74" t="n">
        <v>8</v>
      </c>
      <c r="C230" s="73" t="str">
        <f aca="false">_xlfn.CONCAT(E230,". ",D230," ",G230," (",I230,")")</f>
        <v>8. MKT Mercadotecnia Política I (4)</v>
      </c>
      <c r="D230" s="74" t="s">
        <v>508</v>
      </c>
      <c r="E230" s="74" t="n">
        <v>8</v>
      </c>
      <c r="F230" s="74" t="n">
        <v>3</v>
      </c>
      <c r="G230" s="75" t="s">
        <v>409</v>
      </c>
      <c r="H230" s="75" t="s">
        <v>531</v>
      </c>
      <c r="I230" s="74" t="n">
        <v>4</v>
      </c>
    </row>
    <row r="231" customFormat="false" ht="15" hidden="false" customHeight="false" outlineLevel="0" collapsed="false">
      <c r="A231" s="70" t="n">
        <v>229</v>
      </c>
      <c r="B231" s="74" t="n">
        <v>8</v>
      </c>
      <c r="C231" s="73" t="str">
        <f aca="false">_xlfn.CONCAT(E231,". ",D231," ",G231," (",I231,")")</f>
        <v>8. MKT Mercadotecnia para PYMES (3)</v>
      </c>
      <c r="D231" s="74" t="s">
        <v>508</v>
      </c>
      <c r="E231" s="74" t="n">
        <v>8</v>
      </c>
      <c r="F231" s="74" t="n">
        <v>4</v>
      </c>
      <c r="G231" s="75" t="s">
        <v>532</v>
      </c>
      <c r="H231" s="75" t="s">
        <v>533</v>
      </c>
      <c r="I231" s="74" t="n">
        <v>3</v>
      </c>
    </row>
    <row r="232" customFormat="false" ht="15" hidden="false" customHeight="false" outlineLevel="0" collapsed="false">
      <c r="A232" s="70" t="n">
        <v>230</v>
      </c>
      <c r="B232" s="74" t="n">
        <v>8</v>
      </c>
      <c r="C232" s="73" t="str">
        <f aca="false">_xlfn.CONCAT(E232,". ",D232," ",G232," (",I232,")")</f>
        <v>8. MKT Emprendedurismo (2)</v>
      </c>
      <c r="D232" s="74" t="s">
        <v>508</v>
      </c>
      <c r="E232" s="74" t="n">
        <v>8</v>
      </c>
      <c r="F232" s="74" t="n">
        <v>5</v>
      </c>
      <c r="G232" s="75" t="s">
        <v>294</v>
      </c>
      <c r="H232" s="75" t="s">
        <v>534</v>
      </c>
      <c r="I232" s="74" t="n">
        <v>2</v>
      </c>
    </row>
    <row r="233" customFormat="false" ht="15" hidden="false" customHeight="false" outlineLevel="0" collapsed="false">
      <c r="A233" s="70" t="n">
        <v>231</v>
      </c>
      <c r="B233" s="79" t="n">
        <v>9</v>
      </c>
      <c r="C233" s="73" t="str">
        <f aca="false">_xlfn.CONCAT(E233,". ",D233," ",G233," (",I233,")")</f>
        <v>1. NEG Introducción a la Industria del Entretenimiento (3)</v>
      </c>
      <c r="D233" s="79" t="s">
        <v>535</v>
      </c>
      <c r="E233" s="79" t="n">
        <v>1</v>
      </c>
      <c r="F233" s="79" t="n">
        <v>5</v>
      </c>
      <c r="G233" s="80" t="s">
        <v>536</v>
      </c>
      <c r="H233" s="80" t="s">
        <v>537</v>
      </c>
      <c r="I233" s="79" t="n">
        <v>3</v>
      </c>
    </row>
    <row r="234" customFormat="false" ht="15" hidden="false" customHeight="false" outlineLevel="0" collapsed="false">
      <c r="A234" s="70" t="n">
        <v>232</v>
      </c>
      <c r="B234" s="79" t="n">
        <v>9</v>
      </c>
      <c r="C234" s="73" t="str">
        <f aca="false">_xlfn.CONCAT(E234,". ",D234," ",G234," (",I234,")")</f>
        <v>1. NEG Fundamentos de Administración y Planeación (4)</v>
      </c>
      <c r="D234" s="79" t="s">
        <v>535</v>
      </c>
      <c r="E234" s="79" t="n">
        <v>1</v>
      </c>
      <c r="F234" s="79" t="n">
        <v>4</v>
      </c>
      <c r="G234" s="80" t="s">
        <v>538</v>
      </c>
      <c r="H234" s="80" t="s">
        <v>539</v>
      </c>
      <c r="I234" s="79" t="n">
        <v>4</v>
      </c>
    </row>
    <row r="235" customFormat="false" ht="15" hidden="false" customHeight="false" outlineLevel="0" collapsed="false">
      <c r="A235" s="70" t="n">
        <v>233</v>
      </c>
      <c r="B235" s="79" t="n">
        <v>9</v>
      </c>
      <c r="C235" s="73" t="str">
        <f aca="false">_xlfn.CONCAT(E235,". ",D235," ",G235," (",I235,")")</f>
        <v>1. NEG Fundamentos de Contabilidad (4)</v>
      </c>
      <c r="D235" s="79" t="s">
        <v>535</v>
      </c>
      <c r="E235" s="79" t="n">
        <v>1</v>
      </c>
      <c r="F235" s="79" t="n">
        <v>3</v>
      </c>
      <c r="G235" s="80" t="s">
        <v>515</v>
      </c>
      <c r="H235" s="80" t="s">
        <v>540</v>
      </c>
      <c r="I235" s="79" t="n">
        <v>4</v>
      </c>
    </row>
    <row r="236" customFormat="false" ht="15" hidden="false" customHeight="false" outlineLevel="0" collapsed="false">
      <c r="A236" s="70" t="n">
        <v>234</v>
      </c>
      <c r="B236" s="79" t="n">
        <v>9</v>
      </c>
      <c r="C236" s="73" t="str">
        <f aca="false">_xlfn.CONCAT(E236,". ",D236," ",G236," (",I236,")")</f>
        <v>1. NEG Concepción y Formulación de Proyectos (6)</v>
      </c>
      <c r="D236" s="79" t="s">
        <v>535</v>
      </c>
      <c r="E236" s="79" t="n">
        <v>1</v>
      </c>
      <c r="F236" s="79" t="n">
        <v>2</v>
      </c>
      <c r="G236" s="80" t="s">
        <v>541</v>
      </c>
      <c r="H236" s="80" t="s">
        <v>542</v>
      </c>
      <c r="I236" s="79" t="n">
        <v>6</v>
      </c>
    </row>
    <row r="237" customFormat="false" ht="15" hidden="false" customHeight="false" outlineLevel="0" collapsed="false">
      <c r="A237" s="70" t="n">
        <v>235</v>
      </c>
      <c r="B237" s="79" t="n">
        <v>9</v>
      </c>
      <c r="C237" s="73" t="str">
        <f aca="false">_xlfn.CONCAT(E237,". ",D237," ",G237," (",I237,")")</f>
        <v>1. NEG Fundamentos de Innovación y Creatividad (4)</v>
      </c>
      <c r="D237" s="79" t="s">
        <v>535</v>
      </c>
      <c r="E237" s="79" t="n">
        <v>1</v>
      </c>
      <c r="F237" s="79" t="n">
        <v>1</v>
      </c>
      <c r="G237" s="80" t="s">
        <v>543</v>
      </c>
      <c r="H237" s="80" t="s">
        <v>544</v>
      </c>
      <c r="I237" s="79" t="n">
        <v>4</v>
      </c>
    </row>
    <row r="238" customFormat="false" ht="15" hidden="false" customHeight="false" outlineLevel="0" collapsed="false">
      <c r="A238" s="70" t="n">
        <v>236</v>
      </c>
      <c r="B238" s="79" t="n">
        <v>9</v>
      </c>
      <c r="C238" s="73" t="str">
        <f aca="false">_xlfn.CONCAT(E238,". ",D238," ",G238," (",I238,")")</f>
        <v>2. NEG Ocio, Sociedad y Nuevas Tecnologías (4)</v>
      </c>
      <c r="D238" s="79" t="s">
        <v>535</v>
      </c>
      <c r="E238" s="79" t="n">
        <v>2</v>
      </c>
      <c r="F238" s="79" t="n">
        <v>5</v>
      </c>
      <c r="G238" s="80" t="s">
        <v>545</v>
      </c>
      <c r="H238" s="80" t="s">
        <v>546</v>
      </c>
      <c r="I238" s="79" t="n">
        <v>4</v>
      </c>
    </row>
    <row r="239" customFormat="false" ht="15" hidden="false" customHeight="false" outlineLevel="0" collapsed="false">
      <c r="A239" s="70" t="n">
        <v>237</v>
      </c>
      <c r="B239" s="79" t="n">
        <v>9</v>
      </c>
      <c r="C239" s="73" t="str">
        <f aca="false">_xlfn.CONCAT(E239,". ",D239," ",G239," (",I239,")")</f>
        <v>2. NEG Matemáticas para Negocios (4)</v>
      </c>
      <c r="D239" s="79" t="s">
        <v>535</v>
      </c>
      <c r="E239" s="79" t="n">
        <v>2</v>
      </c>
      <c r="F239" s="79" t="n">
        <v>4</v>
      </c>
      <c r="G239" s="80" t="s">
        <v>547</v>
      </c>
      <c r="H239" s="80" t="s">
        <v>548</v>
      </c>
      <c r="I239" s="79" t="n">
        <v>4</v>
      </c>
    </row>
    <row r="240" customFormat="false" ht="15" hidden="false" customHeight="false" outlineLevel="0" collapsed="false">
      <c r="A240" s="70" t="n">
        <v>238</v>
      </c>
      <c r="B240" s="79" t="n">
        <v>9</v>
      </c>
      <c r="C240" s="73" t="str">
        <f aca="false">_xlfn.CONCAT(E240,". ",D240," ",G240," (",I240,")")</f>
        <v>2. NEG Análisis de Costos (4)</v>
      </c>
      <c r="D240" s="79" t="s">
        <v>535</v>
      </c>
      <c r="E240" s="79" t="n">
        <v>2</v>
      </c>
      <c r="F240" s="79" t="n">
        <v>3</v>
      </c>
      <c r="G240" s="80" t="s">
        <v>549</v>
      </c>
      <c r="H240" s="80" t="s">
        <v>550</v>
      </c>
      <c r="I240" s="79" t="n">
        <v>4</v>
      </c>
    </row>
    <row r="241" customFormat="false" ht="15" hidden="false" customHeight="false" outlineLevel="0" collapsed="false">
      <c r="A241" s="70" t="n">
        <v>239</v>
      </c>
      <c r="B241" s="79" t="n">
        <v>9</v>
      </c>
      <c r="C241" s="73" t="str">
        <f aca="false">_xlfn.CONCAT(E241,". ",D241," ",G241," (",I241,")")</f>
        <v>2. NEG Presentación de Propuestas de Proyectos (4)</v>
      </c>
      <c r="D241" s="79" t="s">
        <v>535</v>
      </c>
      <c r="E241" s="79" t="n">
        <v>2</v>
      </c>
      <c r="F241" s="79" t="n">
        <v>2</v>
      </c>
      <c r="G241" s="80" t="s">
        <v>551</v>
      </c>
      <c r="H241" s="80" t="s">
        <v>552</v>
      </c>
      <c r="I241" s="79" t="n">
        <v>4</v>
      </c>
    </row>
    <row r="242" customFormat="false" ht="15" hidden="false" customHeight="false" outlineLevel="0" collapsed="false">
      <c r="A242" s="70" t="n">
        <v>240</v>
      </c>
      <c r="B242" s="79" t="n">
        <v>9</v>
      </c>
      <c r="C242" s="73" t="str">
        <f aca="false">_xlfn.CONCAT(E242,". ",D242," ",G242," (",I242,")")</f>
        <v>2. NEG Inteligencia Emocional (3)</v>
      </c>
      <c r="D242" s="79" t="s">
        <v>535</v>
      </c>
      <c r="E242" s="79" t="n">
        <v>2</v>
      </c>
      <c r="F242" s="79" t="n">
        <v>1</v>
      </c>
      <c r="G242" s="80" t="s">
        <v>553</v>
      </c>
      <c r="H242" s="80" t="s">
        <v>554</v>
      </c>
      <c r="I242" s="79" t="n">
        <v>3</v>
      </c>
    </row>
    <row r="243" customFormat="false" ht="15" hidden="false" customHeight="false" outlineLevel="0" collapsed="false">
      <c r="A243" s="70" t="n">
        <v>241</v>
      </c>
      <c r="B243" s="79" t="n">
        <v>9</v>
      </c>
      <c r="C243" s="73" t="str">
        <f aca="false">_xlfn.CONCAT(E243,". ",D243," ",G243," (",I243,")")</f>
        <v>3. NEG Inglés I (4)</v>
      </c>
      <c r="D243" s="79" t="s">
        <v>535</v>
      </c>
      <c r="E243" s="79" t="n">
        <v>3</v>
      </c>
      <c r="F243" s="79" t="n">
        <v>5</v>
      </c>
      <c r="G243" s="80" t="s">
        <v>555</v>
      </c>
      <c r="H243" s="80" t="s">
        <v>556</v>
      </c>
      <c r="I243" s="79" t="n">
        <v>4</v>
      </c>
    </row>
    <row r="244" customFormat="false" ht="15" hidden="false" customHeight="false" outlineLevel="0" collapsed="false">
      <c r="A244" s="70" t="n">
        <v>242</v>
      </c>
      <c r="B244" s="79" t="n">
        <v>9</v>
      </c>
      <c r="C244" s="73" t="str">
        <f aca="false">_xlfn.CONCAT(E244,". ",D244," ",G244," (",I244,")")</f>
        <v>3. NEG Evaluación Financiera de Proyectos de Entretenimiento (4)</v>
      </c>
      <c r="D244" s="79" t="s">
        <v>535</v>
      </c>
      <c r="E244" s="79" t="n">
        <v>3</v>
      </c>
      <c r="F244" s="79" t="n">
        <v>4</v>
      </c>
      <c r="G244" s="80" t="s">
        <v>557</v>
      </c>
      <c r="H244" s="80" t="s">
        <v>558</v>
      </c>
      <c r="I244" s="79" t="n">
        <v>4</v>
      </c>
    </row>
    <row r="245" customFormat="false" ht="15" hidden="false" customHeight="false" outlineLevel="0" collapsed="false">
      <c r="A245" s="70" t="n">
        <v>243</v>
      </c>
      <c r="B245" s="79" t="n">
        <v>9</v>
      </c>
      <c r="C245" s="73" t="str">
        <f aca="false">_xlfn.CONCAT(E245,". ",D245," ",G245," (",I245,")")</f>
        <v>3. NEG Negociación (2)</v>
      </c>
      <c r="D245" s="79" t="s">
        <v>535</v>
      </c>
      <c r="E245" s="79" t="n">
        <v>3</v>
      </c>
      <c r="F245" s="79" t="n">
        <v>3</v>
      </c>
      <c r="G245" s="80" t="s">
        <v>559</v>
      </c>
      <c r="H245" s="80" t="s">
        <v>560</v>
      </c>
      <c r="I245" s="79" t="n">
        <v>2</v>
      </c>
    </row>
    <row r="246" customFormat="false" ht="15" hidden="false" customHeight="false" outlineLevel="0" collapsed="false">
      <c r="A246" s="70" t="n">
        <v>244</v>
      </c>
      <c r="B246" s="79" t="n">
        <v>9</v>
      </c>
      <c r="C246" s="73" t="str">
        <f aca="false">_xlfn.CONCAT(E246,". ",D246," ",G246," (",I246,")")</f>
        <v>3. NEG Herramientas de Promoción (6)</v>
      </c>
      <c r="D246" s="79" t="s">
        <v>535</v>
      </c>
      <c r="E246" s="79" t="n">
        <v>3</v>
      </c>
      <c r="F246" s="79" t="n">
        <v>2</v>
      </c>
      <c r="G246" s="80" t="s">
        <v>561</v>
      </c>
      <c r="H246" s="80" t="s">
        <v>562</v>
      </c>
      <c r="I246" s="79" t="n">
        <v>6</v>
      </c>
    </row>
    <row r="247" customFormat="false" ht="15" hidden="false" customHeight="false" outlineLevel="0" collapsed="false">
      <c r="A247" s="70" t="n">
        <v>245</v>
      </c>
      <c r="B247" s="79" t="n">
        <v>9</v>
      </c>
      <c r="C247" s="73" t="str">
        <f aca="false">_xlfn.CONCAT(E247,". ",D247," ",G247," (",I247,")")</f>
        <v>3. NEG Metodología de la Creatividad (3)</v>
      </c>
      <c r="D247" s="79" t="s">
        <v>535</v>
      </c>
      <c r="E247" s="79" t="n">
        <v>3</v>
      </c>
      <c r="F247" s="79" t="n">
        <v>1</v>
      </c>
      <c r="G247" s="80" t="s">
        <v>563</v>
      </c>
      <c r="H247" s="80" t="s">
        <v>564</v>
      </c>
      <c r="I247" s="79" t="n">
        <v>3</v>
      </c>
    </row>
    <row r="248" customFormat="false" ht="15" hidden="false" customHeight="false" outlineLevel="0" collapsed="false">
      <c r="A248" s="70" t="n">
        <v>246</v>
      </c>
      <c r="B248" s="79" t="n">
        <v>9</v>
      </c>
      <c r="C248" s="73" t="str">
        <f aca="false">_xlfn.CONCAT(E248,". ",D248," ",G248," (",I248,")")</f>
        <v>5. NEG Fundamentos de Producción de Eventos (6)</v>
      </c>
      <c r="D248" s="79" t="s">
        <v>535</v>
      </c>
      <c r="E248" s="79" t="n">
        <v>5</v>
      </c>
      <c r="F248" s="79" t="n">
        <v>5</v>
      </c>
      <c r="G248" s="80" t="s">
        <v>565</v>
      </c>
      <c r="H248" s="80" t="s">
        <v>566</v>
      </c>
      <c r="I248" s="79" t="n">
        <v>6</v>
      </c>
    </row>
    <row r="249" customFormat="false" ht="15" hidden="false" customHeight="false" outlineLevel="0" collapsed="false">
      <c r="A249" s="70" t="n">
        <v>247</v>
      </c>
      <c r="B249" s="79" t="n">
        <v>9</v>
      </c>
      <c r="C249" s="73" t="str">
        <f aca="false">_xlfn.CONCAT(E249,". ",D249," ",G249," (",I249,")")</f>
        <v>5. NEG Modelo de Negocios (4)</v>
      </c>
      <c r="D249" s="79" t="s">
        <v>535</v>
      </c>
      <c r="E249" s="79" t="n">
        <v>5</v>
      </c>
      <c r="F249" s="79" t="n">
        <v>3</v>
      </c>
      <c r="G249" s="80" t="s">
        <v>567</v>
      </c>
      <c r="H249" s="80" t="s">
        <v>568</v>
      </c>
      <c r="I249" s="79" t="n">
        <v>4</v>
      </c>
    </row>
    <row r="250" customFormat="false" ht="15" hidden="false" customHeight="false" outlineLevel="0" collapsed="false">
      <c r="A250" s="70" t="n">
        <v>248</v>
      </c>
      <c r="B250" s="79" t="n">
        <v>9</v>
      </c>
      <c r="C250" s="73" t="str">
        <f aca="false">_xlfn.CONCAT(E250,". ",D250," ",G250," (",I250,")")</f>
        <v>5. NEG Administración de la Producción (5)</v>
      </c>
      <c r="D250" s="79" t="s">
        <v>535</v>
      </c>
      <c r="E250" s="79" t="n">
        <v>5</v>
      </c>
      <c r="F250" s="79" t="n">
        <v>2</v>
      </c>
      <c r="G250" s="80" t="s">
        <v>569</v>
      </c>
      <c r="H250" s="80" t="s">
        <v>570</v>
      </c>
      <c r="I250" s="79" t="n">
        <v>5</v>
      </c>
    </row>
    <row r="251" customFormat="false" ht="15" hidden="false" customHeight="false" outlineLevel="0" collapsed="false">
      <c r="A251" s="70" t="n">
        <v>249</v>
      </c>
      <c r="B251" s="79" t="n">
        <v>9</v>
      </c>
      <c r="C251" s="73" t="str">
        <f aca="false">_xlfn.CONCAT(E251,". ",D251," ",G251," (",I251,")")</f>
        <v>5. NEG Equipos y Materiales (4)</v>
      </c>
      <c r="D251" s="79" t="s">
        <v>535</v>
      </c>
      <c r="E251" s="79" t="n">
        <v>5</v>
      </c>
      <c r="F251" s="79" t="n">
        <v>4</v>
      </c>
      <c r="G251" s="80" t="s">
        <v>571</v>
      </c>
      <c r="H251" s="80" t="s">
        <v>572</v>
      </c>
      <c r="I251" s="79" t="n">
        <v>4</v>
      </c>
    </row>
    <row r="252" customFormat="false" ht="15" hidden="false" customHeight="false" outlineLevel="0" collapsed="false">
      <c r="A252" s="70" t="n">
        <v>250</v>
      </c>
      <c r="B252" s="79" t="n">
        <v>9</v>
      </c>
      <c r="C252" s="73" t="str">
        <f aca="false">_xlfn.CONCAT(E252,". ",D252," ",G252," (",I252,")")</f>
        <v>5. NEG Innovación y Creatividad en Negocios de Entretenimiento (4)</v>
      </c>
      <c r="D252" s="79" t="s">
        <v>535</v>
      </c>
      <c r="E252" s="79" t="n">
        <v>5</v>
      </c>
      <c r="F252" s="79" t="n">
        <v>1</v>
      </c>
      <c r="G252" s="80" t="s">
        <v>573</v>
      </c>
      <c r="H252" s="80" t="s">
        <v>574</v>
      </c>
      <c r="I252" s="79" t="n">
        <v>4</v>
      </c>
    </row>
    <row r="253" customFormat="false" ht="15" hidden="false" customHeight="false" outlineLevel="0" collapsed="false">
      <c r="A253" s="70" t="n">
        <v>251</v>
      </c>
      <c r="B253" s="79" t="n">
        <v>9</v>
      </c>
      <c r="C253" s="73" t="str">
        <f aca="false">_xlfn.CONCAT(E253,". ",D253," ",G253," (",I253,")")</f>
        <v>8. NEG Taller de Pre-Producción de Eventos (6)</v>
      </c>
      <c r="D253" s="79" t="s">
        <v>535</v>
      </c>
      <c r="E253" s="79" t="n">
        <v>8</v>
      </c>
      <c r="F253" s="79" t="n">
        <v>5</v>
      </c>
      <c r="G253" s="80" t="s">
        <v>575</v>
      </c>
      <c r="H253" s="80" t="s">
        <v>576</v>
      </c>
      <c r="I253" s="79" t="n">
        <v>6</v>
      </c>
    </row>
    <row r="254" customFormat="false" ht="15" hidden="false" customHeight="false" outlineLevel="0" collapsed="false">
      <c r="A254" s="70" t="n">
        <v>252</v>
      </c>
      <c r="B254" s="79" t="n">
        <v>9</v>
      </c>
      <c r="C254" s="73" t="str">
        <f aca="false">_xlfn.CONCAT(E254,". ",D254," ",G254," (",I254,")")</f>
        <v>8. NEG Consultoría de Negocios (4)</v>
      </c>
      <c r="D254" s="79" t="s">
        <v>535</v>
      </c>
      <c r="E254" s="79" t="n">
        <v>8</v>
      </c>
      <c r="F254" s="79" t="n">
        <v>4</v>
      </c>
      <c r="G254" s="80" t="s">
        <v>577</v>
      </c>
      <c r="H254" s="80" t="s">
        <v>578</v>
      </c>
      <c r="I254" s="79" t="n">
        <v>4</v>
      </c>
    </row>
    <row r="255" customFormat="false" ht="15" hidden="false" customHeight="false" outlineLevel="0" collapsed="false">
      <c r="A255" s="70" t="n">
        <v>253</v>
      </c>
      <c r="B255" s="79" t="n">
        <v>9</v>
      </c>
      <c r="C255" s="73" t="str">
        <f aca="false">_xlfn.CONCAT(E255,". ",D255," ",G255," (",I255,")")</f>
        <v>8. NEG Capital Humano (4)</v>
      </c>
      <c r="D255" s="79" t="s">
        <v>535</v>
      </c>
      <c r="E255" s="79" t="n">
        <v>8</v>
      </c>
      <c r="F255" s="79" t="n">
        <v>3</v>
      </c>
      <c r="G255" s="80" t="s">
        <v>579</v>
      </c>
      <c r="H255" s="80" t="s">
        <v>580</v>
      </c>
      <c r="I255" s="79" t="n">
        <v>4</v>
      </c>
    </row>
    <row r="256" customFormat="false" ht="15" hidden="false" customHeight="false" outlineLevel="0" collapsed="false">
      <c r="A256" s="70" t="n">
        <v>254</v>
      </c>
      <c r="B256" s="79" t="n">
        <v>9</v>
      </c>
      <c r="C256" s="73" t="str">
        <f aca="false">_xlfn.CONCAT(E256,". ",D256," ",G256," (",I256,")")</f>
        <v>8. NEG Responsabilidad Social (4)</v>
      </c>
      <c r="D256" s="79" t="s">
        <v>535</v>
      </c>
      <c r="E256" s="79" t="n">
        <v>8</v>
      </c>
      <c r="F256" s="79" t="n">
        <v>1</v>
      </c>
      <c r="G256" s="80" t="s">
        <v>581</v>
      </c>
      <c r="H256" s="80" t="s">
        <v>582</v>
      </c>
      <c r="I256" s="79" t="n">
        <v>4</v>
      </c>
    </row>
    <row r="257" customFormat="false" ht="15" hidden="false" customHeight="false" outlineLevel="0" collapsed="false">
      <c r="A257" s="70" t="n">
        <v>255</v>
      </c>
      <c r="B257" s="79" t="n">
        <v>9</v>
      </c>
      <c r="C257" s="73" t="str">
        <f aca="false">_xlfn.CONCAT(E257,". ",D257," ",G257," (",I257,")")</f>
        <v>8. NEG Emprendedurismo (2)</v>
      </c>
      <c r="D257" s="79" t="s">
        <v>535</v>
      </c>
      <c r="E257" s="79" t="n">
        <v>8</v>
      </c>
      <c r="F257" s="79" t="n">
        <v>2</v>
      </c>
      <c r="G257" s="80" t="s">
        <v>294</v>
      </c>
      <c r="H257" s="80" t="s">
        <v>583</v>
      </c>
      <c r="I257" s="79" t="n">
        <v>2</v>
      </c>
    </row>
    <row r="258" customFormat="false" ht="15" hidden="false" customHeight="false" outlineLevel="0" collapsed="false">
      <c r="A258" s="70" t="n">
        <v>256</v>
      </c>
      <c r="B258" s="74" t="n">
        <v>10</v>
      </c>
      <c r="C258" s="73" t="str">
        <f aca="false">_xlfn.CONCAT(E258,". ",D258," ",G258," (",I258,")")</f>
        <v>1. MRP Taller de Redacción (4)</v>
      </c>
      <c r="D258" s="74" t="s">
        <v>584</v>
      </c>
      <c r="E258" s="74" t="n">
        <v>1</v>
      </c>
      <c r="F258" s="74" t="n">
        <v>1</v>
      </c>
      <c r="G258" s="75" t="s">
        <v>243</v>
      </c>
      <c r="H258" s="75" t="s">
        <v>585</v>
      </c>
      <c r="I258" s="74" t="n">
        <v>4</v>
      </c>
    </row>
    <row r="259" customFormat="false" ht="15" hidden="false" customHeight="false" outlineLevel="0" collapsed="false">
      <c r="A259" s="70" t="n">
        <v>257</v>
      </c>
      <c r="B259" s="74" t="n">
        <v>10</v>
      </c>
      <c r="C259" s="73" t="str">
        <f aca="false">_xlfn.CONCAT(E259,". ",D259," ",G259," (",I259,")")</f>
        <v>1. MRP Metodología de la Investigación (2)</v>
      </c>
      <c r="D259" s="74" t="s">
        <v>584</v>
      </c>
      <c r="E259" s="74" t="n">
        <v>1</v>
      </c>
      <c r="F259" s="74" t="n">
        <v>2</v>
      </c>
      <c r="G259" s="75" t="s">
        <v>255</v>
      </c>
      <c r="H259" s="75" t="s">
        <v>586</v>
      </c>
      <c r="I259" s="74" t="n">
        <v>2</v>
      </c>
    </row>
    <row r="260" customFormat="false" ht="15" hidden="false" customHeight="false" outlineLevel="0" collapsed="false">
      <c r="A260" s="70" t="n">
        <v>258</v>
      </c>
      <c r="B260" s="74" t="n">
        <v>10</v>
      </c>
      <c r="C260" s="73" t="str">
        <f aca="false">_xlfn.CONCAT(E260,". ",D260," ",G260," (",I260,")")</f>
        <v>1. MRP Teoría de la Comunicación (4)</v>
      </c>
      <c r="D260" s="74" t="s">
        <v>584</v>
      </c>
      <c r="E260" s="74" t="n">
        <v>1</v>
      </c>
      <c r="F260" s="74" t="n">
        <v>3</v>
      </c>
      <c r="G260" s="75" t="s">
        <v>253</v>
      </c>
      <c r="H260" s="75" t="s">
        <v>587</v>
      </c>
      <c r="I260" s="74" t="n">
        <v>4</v>
      </c>
    </row>
    <row r="261" customFormat="false" ht="15" hidden="false" customHeight="false" outlineLevel="0" collapsed="false">
      <c r="A261" s="70" t="n">
        <v>259</v>
      </c>
      <c r="B261" s="74" t="n">
        <v>10</v>
      </c>
      <c r="C261" s="73" t="str">
        <f aca="false">_xlfn.CONCAT(E261,". ",D261," ",G261," (",I261,")")</f>
        <v>1. MRP Principios de la Imagen (3)</v>
      </c>
      <c r="D261" s="74" t="s">
        <v>584</v>
      </c>
      <c r="E261" s="74" t="n">
        <v>1</v>
      </c>
      <c r="F261" s="74" t="n">
        <v>4</v>
      </c>
      <c r="G261" s="75" t="s">
        <v>394</v>
      </c>
      <c r="H261" s="75" t="s">
        <v>588</v>
      </c>
      <c r="I261" s="74" t="n">
        <v>3</v>
      </c>
    </row>
    <row r="262" customFormat="false" ht="15" hidden="false" customHeight="false" outlineLevel="0" collapsed="false">
      <c r="A262" s="70" t="n">
        <v>260</v>
      </c>
      <c r="B262" s="74" t="n">
        <v>10</v>
      </c>
      <c r="C262" s="73" t="str">
        <f aca="false">_xlfn.CONCAT(E262,". ",D262," ",G262," (",I262,")")</f>
        <v>1. MRP Introducción a la Mercadotecnia (6)</v>
      </c>
      <c r="D262" s="74" t="s">
        <v>584</v>
      </c>
      <c r="E262" s="74" t="n">
        <v>1</v>
      </c>
      <c r="F262" s="74" t="n">
        <v>5</v>
      </c>
      <c r="G262" s="75" t="s">
        <v>509</v>
      </c>
      <c r="H262" s="75" t="s">
        <v>589</v>
      </c>
      <c r="I262" s="74" t="n">
        <v>6</v>
      </c>
    </row>
    <row r="263" customFormat="false" ht="15" hidden="false" customHeight="false" outlineLevel="0" collapsed="false">
      <c r="A263" s="70" t="n">
        <v>261</v>
      </c>
      <c r="B263" s="74" t="n">
        <v>10</v>
      </c>
      <c r="C263" s="73" t="str">
        <f aca="false">_xlfn.CONCAT(E263,". ",D263," ",G263," (",I263,")")</f>
        <v>6. MRP Edición Digital Multimedia (6)</v>
      </c>
      <c r="D263" s="74" t="s">
        <v>584</v>
      </c>
      <c r="E263" s="74" t="n">
        <v>6</v>
      </c>
      <c r="F263" s="74" t="n">
        <v>1</v>
      </c>
      <c r="G263" s="75" t="s">
        <v>214</v>
      </c>
      <c r="H263" s="75" t="s">
        <v>590</v>
      </c>
      <c r="I263" s="74" t="n">
        <v>6</v>
      </c>
    </row>
    <row r="264" customFormat="false" ht="15" hidden="false" customHeight="false" outlineLevel="0" collapsed="false">
      <c r="A264" s="70" t="n">
        <v>262</v>
      </c>
      <c r="B264" s="74" t="n">
        <v>10</v>
      </c>
      <c r="C264" s="73" t="str">
        <f aca="false">_xlfn.CONCAT(E264,". ",D264," ",G264," (",I264,")")</f>
        <v>6. MRP Mercadotecnia y Diseño para Redes Sociales (4)</v>
      </c>
      <c r="D264" s="74" t="s">
        <v>584</v>
      </c>
      <c r="E264" s="74" t="n">
        <v>6</v>
      </c>
      <c r="F264" s="74" t="n">
        <v>2</v>
      </c>
      <c r="G264" s="75" t="s">
        <v>367</v>
      </c>
      <c r="H264" s="75" t="s">
        <v>591</v>
      </c>
      <c r="I264" s="74" t="n">
        <v>4</v>
      </c>
    </row>
    <row r="265" customFormat="false" ht="15" hidden="false" customHeight="false" outlineLevel="0" collapsed="false">
      <c r="A265" s="70" t="n">
        <v>263</v>
      </c>
      <c r="B265" s="74" t="n">
        <v>10</v>
      </c>
      <c r="C265" s="73" t="str">
        <f aca="false">_xlfn.CONCAT(E265,". ",D265," ",G265," (",I265,")")</f>
        <v>6. MRP Relaciones Publicas en la Red (3)</v>
      </c>
      <c r="D265" s="74" t="s">
        <v>584</v>
      </c>
      <c r="E265" s="74" t="n">
        <v>6</v>
      </c>
      <c r="F265" s="74" t="n">
        <v>3</v>
      </c>
      <c r="G265" s="75" t="s">
        <v>592</v>
      </c>
      <c r="H265" s="75" t="s">
        <v>593</v>
      </c>
      <c r="I265" s="74" t="n">
        <v>3</v>
      </c>
    </row>
    <row r="266" customFormat="false" ht="15" hidden="false" customHeight="false" outlineLevel="0" collapsed="false">
      <c r="A266" s="70" t="n">
        <v>264</v>
      </c>
      <c r="B266" s="74" t="n">
        <v>10</v>
      </c>
      <c r="C266" s="73" t="str">
        <f aca="false">_xlfn.CONCAT(E266,". ",D266," ",G266," (",I266,")")</f>
        <v>6. MRP Estrategias Creativas y Publicitarias (4)</v>
      </c>
      <c r="D266" s="74" t="s">
        <v>584</v>
      </c>
      <c r="E266" s="74" t="n">
        <v>6</v>
      </c>
      <c r="F266" s="74" t="n">
        <v>4</v>
      </c>
      <c r="G266" s="75" t="s">
        <v>594</v>
      </c>
      <c r="H266" s="75" t="s">
        <v>595</v>
      </c>
      <c r="I266" s="74" t="n">
        <v>4</v>
      </c>
    </row>
    <row r="267" customFormat="false" ht="15" hidden="false" customHeight="false" outlineLevel="0" collapsed="false">
      <c r="A267" s="70" t="n">
        <v>265</v>
      </c>
      <c r="B267" s="74" t="n">
        <v>10</v>
      </c>
      <c r="C267" s="73" t="str">
        <f aca="false">_xlfn.CONCAT(E267,". ",D267," ",G267," (",I267,")")</f>
        <v>6. MRP Diseño Web y Mercadotecnia Digital (6)</v>
      </c>
      <c r="D267" s="74" t="s">
        <v>584</v>
      </c>
      <c r="E267" s="74" t="n">
        <v>6</v>
      </c>
      <c r="F267" s="74" t="n">
        <v>5</v>
      </c>
      <c r="G267" s="75" t="s">
        <v>283</v>
      </c>
      <c r="H267" s="75" t="s">
        <v>596</v>
      </c>
      <c r="I267" s="74" t="n">
        <v>6</v>
      </c>
    </row>
  </sheetData>
  <autoFilter ref="A2:I25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2025-06-10T14:12:00Z</dcterms:created>
  <dc:creator>RICARDO LÓPEZ NIETO</dc:creator>
  <dc:description/>
  <dc:language>en-US</dc:language>
  <cp:lastModifiedBy/>
  <dcterms:modified xsi:type="dcterms:W3CDTF">2025-11-07T10:38:13Z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